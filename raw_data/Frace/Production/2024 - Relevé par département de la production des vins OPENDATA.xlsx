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ieng.DOUANE\Desktop\DR 2024\OPENDATA\"/>
    </mc:Choice>
  </mc:AlternateContent>
  <xr:revisionPtr revIDLastSave="0" documentId="13_ncr:1_{DF70D7B5-963F-4D04-A741-E5240615C2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4" i="1" l="1"/>
  <c r="D54" i="1"/>
</calcChain>
</file>

<file path=xl/sharedStrings.xml><?xml version="1.0" encoding="utf-8"?>
<sst xmlns="http://schemas.openxmlformats.org/spreadsheetml/2006/main" count="172" uniqueCount="146">
  <si>
    <t>MINISTÈRE DE L’ACTION ET DES COMPTES PUBLICS</t>
  </si>
  <si>
    <t>DIRECTION GÉNÉRALE DES DOUANES ET DROITS INDIRECTS</t>
  </si>
  <si>
    <t>BUREAU FID3 - SECTION VITICULTURE</t>
  </si>
  <si>
    <t>NOMBRE DE
DÉCLARATIONS
DE RÉCOLTE
ET DE
PRODUCTION
SOUSCRITES</t>
  </si>
  <si>
    <t>SUPERFICIE DES VIGNES</t>
  </si>
  <si>
    <t>QUANTITÉS DE VINS PAR CATÉGORIE (hors Cognac, Armagnac)</t>
  </si>
  <si>
    <t>QUANTITÉS
DE VINS APTES
À LA PRODUCTION
DE  COGNAC
OU D'ARMAGNAC</t>
  </si>
  <si>
    <t>PRODUCTION DES VINS
COMMERCIALISABLES</t>
  </si>
  <si>
    <t>AUTRE PRODUCTION *</t>
  </si>
  <si>
    <t>TOTAL</t>
  </si>
  <si>
    <t>SUPERFICIE</t>
  </si>
  <si>
    <t>AOP</t>
  </si>
  <si>
    <t>IGP</t>
  </si>
  <si>
    <t>VSIG</t>
  </si>
  <si>
    <t>TOTALE</t>
  </si>
  <si>
    <t>APTES</t>
  </si>
  <si>
    <t>DÉPARTEMENTS</t>
  </si>
  <si>
    <t>DES VIGNES</t>
  </si>
  <si>
    <t>AU</t>
  </si>
  <si>
    <t>EN</t>
  </si>
  <si>
    <t>COGNAC</t>
  </si>
  <si>
    <t>PRODUCTION</t>
  </si>
  <si>
    <t>ou</t>
  </si>
  <si>
    <t>Blanc</t>
  </si>
  <si>
    <t>Rouge</t>
  </si>
  <si>
    <t>Rosé</t>
  </si>
  <si>
    <t>VSI / VCI</t>
  </si>
  <si>
    <t xml:space="preserve"> Volumes
des AOP, IGP, VSIG
et vins aptes.</t>
  </si>
  <si>
    <t>ARMAGNAC</t>
  </si>
  <si>
    <t>(ha)</t>
  </si>
  <si>
    <t>(hl)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</si>
  <si>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</si>
  <si>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</si>
  <si>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</si>
  <si>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</si>
  <si>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</si>
  <si>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</si>
  <si>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</si>
  <si>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</si>
  <si>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</si>
  <si>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</si>
  <si>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</si>
  <si>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</si>
  <si>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</si>
  <si>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</si>
  <si>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</si>
  <si>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</si>
  <si>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</si>
  <si>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</si>
  <si>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</si>
  <si>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</si>
  <si>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01 AIN</t>
  </si>
  <si>
    <t>02 AISNE</t>
  </si>
  <si>
    <t>03 ALLIER</t>
  </si>
  <si>
    <t>04 ALPES DE HAUTES-PROVENCE</t>
  </si>
  <si>
    <t>05 HAUTES-ALPES</t>
  </si>
  <si>
    <t>06 ALPES-MARITIMES</t>
  </si>
  <si>
    <t>07 ARDECHE</t>
  </si>
  <si>
    <t>09 ARIEGE</t>
  </si>
  <si>
    <t>10 AUBE</t>
  </si>
  <si>
    <t>11 AUDE</t>
  </si>
  <si>
    <t>12 AVEYRON</t>
  </si>
  <si>
    <t>13 BOUCHES-DU-RHONE</t>
  </si>
  <si>
    <t>14 CALVADOS</t>
  </si>
  <si>
    <t>15 CANTAL</t>
  </si>
  <si>
    <t>16 CHARENTE</t>
  </si>
  <si>
    <t>17 CHARENTE-MARITIME</t>
  </si>
  <si>
    <t>18 CHER</t>
  </si>
  <si>
    <t>19 CORREZE</t>
  </si>
  <si>
    <t>21 COTE-D'OR</t>
  </si>
  <si>
    <t>23 CREUSE</t>
  </si>
  <si>
    <t>24 DORDOGNE</t>
  </si>
  <si>
    <t>25 DOUBS</t>
  </si>
  <si>
    <t>26 DROME</t>
  </si>
  <si>
    <t>28 EURE-ET-LOIR</t>
  </si>
  <si>
    <t>2A CORSE-DU-SUD</t>
  </si>
  <si>
    <t>2B HAUTE-CORSE</t>
  </si>
  <si>
    <t>30 GARD</t>
  </si>
  <si>
    <t>31 HAUTE-GARONNE</t>
  </si>
  <si>
    <t>32 GERS</t>
  </si>
  <si>
    <t>33 GIRONDE</t>
  </si>
  <si>
    <t>34 HERAULT</t>
  </si>
  <si>
    <t>36 INDRE</t>
  </si>
  <si>
    <t>37 INDRE-ET-LOIRE</t>
  </si>
  <si>
    <t>38 ISERE</t>
  </si>
  <si>
    <t>39 JURA</t>
  </si>
  <si>
    <t>40 LANDES</t>
  </si>
  <si>
    <t>41 LOIR-ET-CHER</t>
  </si>
  <si>
    <t>42 LOIRE</t>
  </si>
  <si>
    <t>43 HAUTE-LOIRE</t>
  </si>
  <si>
    <t>44 LOIRE-ATLANTIQUE</t>
  </si>
  <si>
    <t>45 LOIRET</t>
  </si>
  <si>
    <t>46 LOT</t>
  </si>
  <si>
    <t>47 LOT-ET-GARONNE</t>
  </si>
  <si>
    <t>48 LOZERE</t>
  </si>
  <si>
    <t>49 MAINE-ET-LOIRE</t>
  </si>
  <si>
    <t>51 MARNE</t>
  </si>
  <si>
    <t>52 HAUTE-MARNE</t>
  </si>
  <si>
    <t>54 MEURTHE-ET-MOSELLE</t>
  </si>
  <si>
    <t>55 MEUSE</t>
  </si>
  <si>
    <t>57 MOSELLE</t>
  </si>
  <si>
    <t>58 NIEVRE</t>
  </si>
  <si>
    <t>62 PAS-DE-CALAIS</t>
  </si>
  <si>
    <t>63 PUY-DE-DOME</t>
  </si>
  <si>
    <t>64 PYRENEES-ATLANTIQUES</t>
  </si>
  <si>
    <t>65 HAUTES-PYRENEES</t>
  </si>
  <si>
    <t>66 PYRENEES-ORIENTALES</t>
  </si>
  <si>
    <t>67 BAS-RHIN</t>
  </si>
  <si>
    <t>68 HAUT-RHIN</t>
  </si>
  <si>
    <t>69 RHONE</t>
  </si>
  <si>
    <t>70 HAUTE-SAONE</t>
  </si>
  <si>
    <t>71 SAONE-ET-LOIRE</t>
  </si>
  <si>
    <t>72 SARTHE</t>
  </si>
  <si>
    <t>73 SAVOIE</t>
  </si>
  <si>
    <t>74 HAUTE-SAVOIE</t>
  </si>
  <si>
    <t>76 SEINE-MARITIME</t>
  </si>
  <si>
    <t>77 SEINE-ET-MARNE</t>
  </si>
  <si>
    <t>78 YVELINES</t>
  </si>
  <si>
    <t>79 DEUX-SEVRES</t>
  </si>
  <si>
    <t>80 SOMME</t>
  </si>
  <si>
    <t>81 TARN</t>
  </si>
  <si>
    <t>82 TARN-ET-GARONNE</t>
  </si>
  <si>
    <t>83 VAR</t>
  </si>
  <si>
    <t>84 VAUCLUSE</t>
  </si>
  <si>
    <t>85 VENDEE</t>
  </si>
  <si>
    <t>86 VIENNE</t>
  </si>
  <si>
    <t>87 HAUTE-VIENNE</t>
  </si>
  <si>
    <t>88 VOSGES</t>
  </si>
  <si>
    <t>89 YONNE</t>
  </si>
  <si>
    <t>91 ESSONNE</t>
  </si>
  <si>
    <t>92 VAL DE SEINE</t>
  </si>
  <si>
    <t>93 SEINE SAINT DENIS</t>
  </si>
  <si>
    <t>94 VAL DE MARNE</t>
  </si>
  <si>
    <t>95 VAL D'OISE</t>
  </si>
  <si>
    <t>TOTAUX</t>
  </si>
  <si>
    <t>22 COTE D'ARMOR</t>
  </si>
  <si>
    <t>35 ILLE ET VILAINE</t>
  </si>
  <si>
    <t>50 MANCHE</t>
  </si>
  <si>
    <t>53 MAYENNE</t>
  </si>
  <si>
    <t>56 MORBIHAN</t>
  </si>
  <si>
    <t>60 OISE</t>
  </si>
  <si>
    <t>27 EURE</t>
  </si>
  <si>
    <t>59 NORD</t>
  </si>
  <si>
    <t>61 ORNE</t>
  </si>
  <si>
    <r>
      <t xml:space="preserve">PRODUCTION </t>
    </r>
    <r>
      <rPr>
        <b/>
        <sz val="12"/>
        <color indexed="25"/>
        <rFont val="Arial"/>
        <family val="2"/>
      </rPr>
      <t>2024</t>
    </r>
    <r>
      <rPr>
        <b/>
        <sz val="12"/>
        <rFont val="Arial"/>
        <family val="2"/>
      </rPr>
      <t xml:space="preserve"> DES VINS PAR DÉPARTEMENT</t>
    </r>
  </si>
  <si>
    <t>29 FINISTERE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</si>
</sst>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2" x14ac:knownFonts="1">
    <font>
      <sz val="11"/>
      <color theme="1"/>
      <name val="Calibri"/>
      <family val="2"/>
      <scheme val="minor"/>
    </font>
    <font>
      <sz val="7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8"/>
      <color indexed="8"/>
      <name val="Arial"/>
      <family val="2"/>
    </font>
    <font>
      <b/>
      <sz val="8.5"/>
      <name val="Arial"/>
      <family val="2"/>
    </font>
    <font>
      <b/>
      <sz val="12"/>
      <name val="Arial"/>
      <family val="2"/>
    </font>
    <font>
      <b/>
      <sz val="12"/>
      <color indexed="25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8.5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 tint="-0.14999847407452621"/>
        <bgColor indexed="22"/>
      </patternFill>
    </fill>
    <fill>
      <patternFill patternType="solid">
        <fgColor theme="0" tint="-0.14999847407452621"/>
        <bgColor indexed="41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164" fontId="0" fillId="0" borderId="0" xfId="0" applyNumberFormat="1" applyAlignment="1">
      <alignment horizontal="left"/>
    </xf>
    <xf numFmtId="3" fontId="1" fillId="0" borderId="0" xfId="0" applyNumberFormat="1" applyFont="1" applyBorder="1" applyAlignment="1" applyProtection="1">
      <alignment horizontal="center"/>
      <protection locked="0"/>
    </xf>
    <xf numFmtId="3" fontId="1" fillId="2" borderId="0" xfId="0" applyNumberFormat="1" applyFont="1" applyFill="1" applyBorder="1" applyAlignment="1" applyProtection="1">
      <alignment horizontal="center"/>
      <protection locked="0"/>
    </xf>
    <xf numFmtId="3" fontId="2" fillId="0" borderId="0" xfId="0" applyNumberFormat="1" applyFont="1" applyFill="1" applyBorder="1" applyAlignment="1" applyProtection="1">
      <alignment horizontal="center"/>
      <protection locked="0"/>
    </xf>
    <xf numFmtId="3" fontId="1" fillId="0" borderId="0" xfId="0" applyNumberFormat="1" applyFont="1" applyFill="1" applyBorder="1" applyAlignment="1" applyProtection="1">
      <alignment horizontal="center"/>
      <protection locked="0"/>
    </xf>
    <xf numFmtId="3" fontId="3" fillId="0" borderId="0" xfId="0" applyNumberFormat="1" applyFont="1" applyBorder="1" applyAlignment="1" applyProtection="1">
      <alignment horizontal="center"/>
      <protection locked="0"/>
    </xf>
    <xf numFmtId="3" fontId="4" fillId="2" borderId="0" xfId="0" applyNumberFormat="1" applyFont="1" applyFill="1" applyBorder="1" applyAlignment="1">
      <alignment horizontal="right"/>
    </xf>
    <xf numFmtId="3" fontId="2" fillId="0" borderId="0" xfId="0" applyNumberFormat="1" applyFont="1" applyBorder="1" applyAlignment="1" applyProtection="1">
      <alignment horizontal="center"/>
      <protection locked="0"/>
    </xf>
    <xf numFmtId="3" fontId="3" fillId="0" borderId="0" xfId="0" applyNumberFormat="1" applyFont="1" applyFill="1" applyBorder="1" applyAlignment="1" applyProtection="1">
      <alignment horizontal="center"/>
      <protection locked="0"/>
    </xf>
    <xf numFmtId="3" fontId="1" fillId="0" borderId="0" xfId="0" applyNumberFormat="1" applyFont="1" applyFill="1" applyBorder="1" applyProtection="1">
      <protection locked="0"/>
    </xf>
    <xf numFmtId="164" fontId="3" fillId="0" borderId="0" xfId="0" applyNumberFormat="1" applyFont="1" applyBorder="1" applyAlignment="1" applyProtection="1">
      <alignment horizontal="left"/>
      <protection locked="0"/>
    </xf>
    <xf numFmtId="3" fontId="1" fillId="0" borderId="0" xfId="0" applyNumberFormat="1" applyFont="1" applyBorder="1" applyProtection="1">
      <protection locked="0"/>
    </xf>
    <xf numFmtId="3" fontId="1" fillId="3" borderId="2" xfId="0" applyNumberFormat="1" applyFont="1" applyFill="1" applyBorder="1" applyAlignment="1" applyProtection="1">
      <alignment horizontal="center"/>
      <protection locked="0"/>
    </xf>
    <xf numFmtId="3" fontId="1" fillId="3" borderId="5" xfId="0" applyNumberFormat="1" applyFont="1" applyFill="1" applyBorder="1" applyProtection="1">
      <protection locked="0"/>
    </xf>
    <xf numFmtId="3" fontId="1" fillId="3" borderId="5" xfId="0" applyNumberFormat="1" applyFont="1" applyFill="1" applyBorder="1" applyAlignment="1" applyProtection="1">
      <alignment horizontal="center"/>
      <protection locked="0"/>
    </xf>
    <xf numFmtId="3" fontId="1" fillId="0" borderId="2" xfId="0" applyNumberFormat="1" applyFont="1" applyFill="1" applyBorder="1" applyAlignment="1" applyProtection="1">
      <alignment horizontal="center"/>
      <protection locked="0"/>
    </xf>
    <xf numFmtId="3" fontId="1" fillId="2" borderId="5" xfId="0" applyNumberFormat="1" applyFont="1" applyFill="1" applyBorder="1" applyAlignment="1" applyProtection="1">
      <alignment horizontal="center"/>
      <protection locked="0"/>
    </xf>
    <xf numFmtId="3" fontId="9" fillId="0" borderId="5" xfId="0" applyNumberFormat="1" applyFont="1" applyFill="1" applyBorder="1" applyAlignment="1" applyProtection="1">
      <alignment horizontal="center"/>
      <protection locked="0"/>
    </xf>
    <xf numFmtId="3" fontId="1" fillId="0" borderId="5" xfId="0" applyNumberFormat="1" applyFont="1" applyFill="1" applyBorder="1" applyAlignment="1" applyProtection="1">
      <alignment horizontal="center"/>
      <protection locked="0"/>
    </xf>
    <xf numFmtId="3" fontId="1" fillId="0" borderId="6" xfId="0" applyNumberFormat="1" applyFont="1" applyFill="1" applyBorder="1" applyAlignment="1" applyProtection="1">
      <alignment horizontal="center"/>
      <protection locked="0"/>
    </xf>
    <xf numFmtId="3" fontId="8" fillId="4" borderId="5" xfId="0" applyNumberFormat="1" applyFont="1" applyFill="1" applyBorder="1" applyAlignment="1" applyProtection="1">
      <alignment vertical="center" wrapText="1"/>
      <protection locked="0"/>
    </xf>
    <xf numFmtId="3" fontId="8" fillId="4" borderId="6" xfId="0" applyNumberFormat="1" applyFont="1" applyFill="1" applyBorder="1" applyAlignment="1" applyProtection="1">
      <alignment vertical="center" wrapText="1"/>
      <protection locked="0"/>
    </xf>
    <xf numFmtId="3" fontId="8" fillId="4" borderId="5" xfId="0" applyNumberFormat="1" applyFont="1" applyFill="1" applyBorder="1" applyAlignment="1" applyProtection="1">
      <alignment vertical="center"/>
      <protection locked="0"/>
    </xf>
    <xf numFmtId="3" fontId="9" fillId="2" borderId="5" xfId="0" applyNumberFormat="1" applyFont="1" applyFill="1" applyBorder="1" applyAlignment="1" applyProtection="1">
      <alignment horizontal="center"/>
      <protection locked="0"/>
    </xf>
    <xf numFmtId="3" fontId="1" fillId="4" borderId="6" xfId="0" applyNumberFormat="1" applyFont="1" applyFill="1" applyBorder="1" applyAlignment="1" applyProtection="1">
      <alignment horizontal="center"/>
      <protection locked="0"/>
    </xf>
    <xf numFmtId="3" fontId="1" fillId="4" borderId="5" xfId="0" applyNumberFormat="1" applyFont="1" applyFill="1" applyBorder="1" applyAlignment="1" applyProtection="1">
      <alignment horizontal="center" vertical="center" wrapText="1"/>
      <protection locked="0"/>
    </xf>
    <xf numFmtId="3" fontId="1" fillId="4" borderId="5" xfId="0" applyNumberFormat="1" applyFont="1" applyFill="1" applyBorder="1" applyAlignment="1" applyProtection="1">
      <alignment horizontal="center"/>
      <protection locked="0"/>
    </xf>
    <xf numFmtId="3" fontId="9" fillId="0" borderId="9" xfId="0" applyNumberFormat="1" applyFont="1" applyFill="1" applyBorder="1" applyAlignment="1" applyProtection="1">
      <alignment horizontal="center"/>
      <protection locked="0"/>
    </xf>
    <xf numFmtId="3" fontId="9" fillId="2" borderId="9" xfId="0" applyNumberFormat="1" applyFont="1" applyFill="1" applyBorder="1" applyAlignment="1" applyProtection="1">
      <alignment horizontal="center"/>
      <protection locked="0"/>
    </xf>
    <xf numFmtId="3" fontId="1" fillId="4" borderId="10" xfId="0" applyNumberFormat="1" applyFont="1" applyFill="1" applyBorder="1" applyAlignment="1" applyProtection="1">
      <alignment horizontal="center"/>
      <protection locked="0"/>
    </xf>
    <xf numFmtId="3" fontId="9" fillId="4" borderId="9" xfId="0" applyNumberFormat="1" applyFont="1" applyFill="1" applyBorder="1" applyAlignment="1" applyProtection="1">
      <alignment horizontal="center"/>
      <protection locked="0"/>
    </xf>
    <xf numFmtId="3" fontId="9" fillId="4" borderId="1" xfId="0" applyNumberFormat="1" applyFont="1" applyFill="1" applyBorder="1" applyAlignment="1" applyProtection="1">
      <alignment horizontal="center"/>
      <protection locked="0"/>
    </xf>
    <xf numFmtId="3" fontId="1" fillId="4" borderId="9" xfId="0" applyNumberFormat="1" applyFont="1" applyFill="1" applyBorder="1" applyAlignment="1" applyProtection="1">
      <alignment horizontal="center"/>
      <protection locked="0"/>
    </xf>
    <xf numFmtId="3" fontId="10" fillId="0" borderId="4" xfId="0" applyNumberFormat="1" applyFont="1" applyFill="1" applyBorder="1" applyProtection="1">
      <protection locked="0"/>
    </xf>
    <xf numFmtId="3" fontId="4" fillId="0" borderId="2" xfId="0" applyNumberFormat="1" applyFont="1" applyFill="1" applyBorder="1" applyAlignment="1" applyProtection="1">
      <alignment horizontal="center"/>
      <protection locked="0"/>
    </xf>
    <xf numFmtId="3" fontId="4" fillId="0" borderId="11" xfId="0" applyNumberFormat="1" applyFont="1" applyFill="1" applyBorder="1" applyAlignment="1" applyProtection="1">
      <alignment horizontal="center"/>
      <protection locked="0"/>
    </xf>
    <xf numFmtId="3" fontId="4" fillId="0" borderId="4" xfId="0" applyNumberFormat="1" applyFont="1" applyFill="1" applyBorder="1" applyAlignment="1" applyProtection="1">
      <alignment horizontal="center"/>
      <protection locked="0"/>
    </xf>
    <xf numFmtId="3" fontId="4" fillId="0" borderId="12" xfId="0" applyNumberFormat="1" applyFont="1" applyFill="1" applyBorder="1" applyAlignment="1" applyProtection="1">
      <alignment horizontal="center"/>
      <protection locked="0"/>
    </xf>
    <xf numFmtId="3" fontId="11" fillId="0" borderId="2" xfId="0" applyNumberFormat="1" applyFont="1" applyFill="1" applyBorder="1" applyAlignment="1" applyProtection="1">
      <alignment horizontal="center"/>
      <protection locked="0"/>
    </xf>
    <xf numFmtId="3" fontId="11" fillId="0" borderId="2" xfId="0" applyNumberFormat="1" applyFont="1" applyFill="1" applyBorder="1" applyProtection="1">
      <protection locked="0"/>
    </xf>
    <xf numFmtId="3" fontId="11" fillId="0" borderId="0" xfId="0" applyNumberFormat="1" applyFont="1" applyFill="1" applyBorder="1" applyAlignment="1" applyProtection="1">
      <alignment horizontal="center"/>
      <protection locked="0"/>
    </xf>
    <xf numFmtId="3" fontId="11" fillId="0" borderId="5" xfId="0" applyNumberFormat="1" applyFont="1" applyFill="1" applyBorder="1" applyAlignment="1" applyProtection="1">
      <alignment horizontal="center"/>
      <protection locked="0"/>
    </xf>
    <xf numFmtId="3" fontId="10" fillId="0" borderId="6" xfId="0" applyNumberFormat="1" applyFont="1" applyFill="1" applyBorder="1" applyProtection="1">
      <protection locked="0"/>
    </xf>
    <xf numFmtId="3" fontId="4" fillId="0" borderId="5" xfId="0" applyNumberFormat="1" applyFont="1" applyFill="1" applyBorder="1" applyAlignment="1">
      <alignment horizontal="right"/>
    </xf>
    <xf numFmtId="3" fontId="4" fillId="0" borderId="5" xfId="0" applyNumberFormat="1" applyFont="1" applyFill="1" applyBorder="1" applyAlignment="1"/>
    <xf numFmtId="3" fontId="11" fillId="0" borderId="0" xfId="0" applyNumberFormat="1" applyFont="1" applyFill="1" applyBorder="1" applyAlignment="1"/>
    <xf numFmtId="3" fontId="4" fillId="0" borderId="13" xfId="0" applyNumberFormat="1" applyFont="1" applyFill="1" applyBorder="1" applyAlignment="1">
      <alignment horizontal="right"/>
    </xf>
    <xf numFmtId="3" fontId="11" fillId="0" borderId="0" xfId="0" applyNumberFormat="1" applyFont="1" applyFill="1" applyBorder="1" applyProtection="1">
      <protection locked="0"/>
    </xf>
    <xf numFmtId="3" fontId="11" fillId="0" borderId="5" xfId="0" applyNumberFormat="1" applyFont="1" applyFill="1" applyBorder="1" applyAlignment="1" applyProtection="1">
      <alignment horizontal="right"/>
      <protection locked="0"/>
    </xf>
    <xf numFmtId="3" fontId="4" fillId="0" borderId="5" xfId="0" applyNumberFormat="1" applyFont="1" applyFill="1" applyBorder="1" applyAlignment="1" applyProtection="1">
      <alignment horizontal="right"/>
      <protection locked="0"/>
    </xf>
    <xf numFmtId="164" fontId="10" fillId="0" borderId="6" xfId="0" applyNumberFormat="1" applyFont="1" applyFill="1" applyBorder="1" applyAlignment="1" applyProtection="1">
      <alignment horizontal="left"/>
      <protection locked="0"/>
    </xf>
    <xf numFmtId="3" fontId="4" fillId="0" borderId="0" xfId="0" applyNumberFormat="1" applyFont="1" applyFill="1" applyBorder="1" applyAlignment="1"/>
    <xf numFmtId="3" fontId="4" fillId="0" borderId="13" xfId="0" applyNumberFormat="1" applyFont="1" applyFill="1" applyBorder="1" applyAlignment="1"/>
    <xf numFmtId="3" fontId="4" fillId="0" borderId="0" xfId="0" applyNumberFormat="1" applyFont="1" applyFill="1" applyBorder="1" applyAlignment="1">
      <alignment horizontal="right"/>
    </xf>
    <xf numFmtId="3" fontId="11" fillId="0" borderId="0" xfId="0" applyNumberFormat="1" applyFont="1" applyFill="1" applyBorder="1" applyAlignment="1" applyProtection="1">
      <alignment horizontal="right"/>
      <protection locked="0"/>
    </xf>
    <xf numFmtId="3" fontId="4" fillId="0" borderId="6" xfId="0" applyNumberFormat="1" applyFont="1" applyFill="1" applyBorder="1" applyAlignment="1">
      <alignment horizontal="right"/>
    </xf>
    <xf numFmtId="3" fontId="1" fillId="0" borderId="0" xfId="0" applyNumberFormat="1" applyFont="1" applyBorder="1" applyAlignment="1" applyProtection="1">
      <alignment horizontal="center" vertical="center"/>
      <protection locked="0"/>
    </xf>
    <xf numFmtId="3" fontId="10" fillId="0" borderId="7" xfId="0" applyNumberFormat="1" applyFont="1" applyBorder="1" applyAlignment="1" applyProtection="1">
      <alignment horizontal="center" vertical="center"/>
      <protection locked="0"/>
    </xf>
    <xf numFmtId="0" fontId="0" fillId="0" borderId="0" xfId="0" applyFill="1"/>
    <xf numFmtId="3" fontId="4" fillId="0" borderId="0" xfId="0" applyNumberFormat="1" applyFont="1" applyFill="1" applyBorder="1" applyAlignment="1" applyProtection="1">
      <alignment horizontal="right"/>
      <protection locked="0"/>
    </xf>
    <xf numFmtId="3" fontId="8" fillId="4" borderId="2" xfId="0" applyNumberFormat="1" applyFont="1" applyFill="1" applyBorder="1" applyAlignment="1" applyProtection="1">
      <alignment horizontal="center" vertical="center" wrapText="1"/>
      <protection locked="0"/>
    </xf>
    <xf numFmtId="3" fontId="1" fillId="2" borderId="7" xfId="0" applyNumberFormat="1" applyFont="1" applyFill="1" applyBorder="1" applyAlignment="1" applyProtection="1">
      <alignment horizontal="center" vertical="center"/>
      <protection locked="0"/>
    </xf>
    <xf numFmtId="3" fontId="1" fillId="2" borderId="8" xfId="0" applyNumberFormat="1" applyFont="1" applyFill="1" applyBorder="1" applyAlignment="1" applyProtection="1">
      <alignment horizontal="center" vertical="center"/>
      <protection locked="0"/>
    </xf>
    <xf numFmtId="3" fontId="1" fillId="0" borderId="7" xfId="0" applyNumberFormat="1" applyFont="1" applyFill="1" applyBorder="1" applyAlignment="1" applyProtection="1">
      <alignment horizontal="center" vertical="center"/>
      <protection locked="0"/>
    </xf>
    <xf numFmtId="3" fontId="1" fillId="4" borderId="5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3" fontId="1" fillId="4" borderId="4" xfId="0" applyNumberFormat="1" applyFont="1" applyFill="1" applyBorder="1" applyAlignment="1" applyProtection="1">
      <alignment horizontal="center" vertical="center" wrapText="1"/>
      <protection locked="0"/>
    </xf>
    <xf numFmtId="3" fontId="1" fillId="3" borderId="2" xfId="0" applyNumberFormat="1" applyFont="1" applyFill="1" applyBorder="1" applyAlignment="1" applyProtection="1">
      <alignment horizontal="center" vertical="center" wrapText="1"/>
      <protection locked="0"/>
    </xf>
    <xf numFmtId="3" fontId="1" fillId="3" borderId="5" xfId="0" applyNumberFormat="1" applyFont="1" applyFill="1" applyBorder="1" applyAlignment="1" applyProtection="1">
      <alignment horizontal="center" vertical="center" wrapText="1"/>
      <protection locked="0"/>
    </xf>
    <xf numFmtId="3" fontId="1" fillId="3" borderId="3" xfId="0" applyNumberFormat="1" applyFont="1" applyFill="1" applyBorder="1" applyAlignment="1" applyProtection="1">
      <alignment horizontal="center" vertical="center"/>
      <protection locked="0"/>
    </xf>
    <xf numFmtId="3" fontId="9" fillId="3" borderId="2" xfId="0" applyNumberFormat="1" applyFont="1" applyFill="1" applyBorder="1" applyAlignment="1" applyProtection="1">
      <alignment horizontal="center" vertical="center"/>
      <protection locked="0"/>
    </xf>
    <xf numFmtId="3" fontId="8" fillId="0" borderId="1" xfId="0" applyNumberFormat="1" applyFont="1" applyBorder="1" applyAlignment="1" applyProtection="1">
      <alignment horizontal="center"/>
      <protection locked="0"/>
    </xf>
    <xf numFmtId="3" fontId="3" fillId="0" borderId="0" xfId="0" applyNumberFormat="1" applyFont="1" applyBorder="1" applyAlignment="1" applyProtection="1">
      <alignment horizontal="center"/>
      <protection locked="0"/>
    </xf>
    <xf numFmtId="3" fontId="5" fillId="0" borderId="0" xfId="0" applyNumberFormat="1" applyFont="1" applyBorder="1" applyAlignment="1">
      <alignment horizontal="center"/>
    </xf>
    <xf numFmtId="3" fontId="6" fillId="0" borderId="0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116"/>
  <sheetViews>
    <sheetView tabSelected="1" workbookViewId="0">
      <selection activeCell="J120" sqref="J120"/>
    </sheetView>
  </sheetViews>
  <sheetFormatPr baseColWidth="10" defaultRowHeight="14.4" x14ac:dyDescent="0.3"/>
  <cols>
    <col min="1" max="1" width="25.109375" bestFit="1" customWidth="1"/>
    <col min="18" max="18" width="13.6640625" customWidth="1"/>
    <col min="19" max="19" width="20.44140625" customWidth="1"/>
  </cols>
  <sheetData>
    <row r="1" spans="1:22" x14ac:dyDescent="0.3">
      <c r="A1" s="1"/>
      <c r="B1" s="2"/>
      <c r="C1" s="2"/>
      <c r="D1" s="2"/>
      <c r="E1" s="3"/>
      <c r="F1" s="4"/>
      <c r="G1" s="5"/>
      <c r="H1" s="5"/>
      <c r="I1" s="3"/>
      <c r="J1" s="3"/>
      <c r="K1" s="3"/>
      <c r="L1" s="3"/>
      <c r="M1" s="3"/>
      <c r="N1" s="3"/>
      <c r="O1" s="3"/>
      <c r="P1" s="5"/>
      <c r="Q1" s="5"/>
      <c r="R1" s="5"/>
      <c r="S1" s="2"/>
      <c r="T1" s="5"/>
      <c r="U1" s="5"/>
      <c r="V1" s="2"/>
    </row>
    <row r="2" spans="1:22" ht="15.6" x14ac:dyDescent="0.3">
      <c r="A2" s="1"/>
      <c r="B2" s="73" t="s">
        <v>0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</row>
    <row r="3" spans="1:22" ht="15.6" x14ac:dyDescent="0.3">
      <c r="A3" s="1"/>
      <c r="B3" s="2"/>
      <c r="C3" s="6"/>
      <c r="D3" s="6"/>
      <c r="E3" s="7"/>
      <c r="F3" s="8"/>
      <c r="G3" s="6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2"/>
      <c r="T3" s="5"/>
      <c r="U3" s="5"/>
      <c r="V3" s="2"/>
    </row>
    <row r="4" spans="1:22" ht="15.6" x14ac:dyDescent="0.3">
      <c r="A4" s="1"/>
      <c r="B4" s="73" t="s">
        <v>1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</row>
    <row r="5" spans="1:22" ht="15.6" x14ac:dyDescent="0.3">
      <c r="A5" s="1"/>
      <c r="B5" s="73" t="s">
        <v>2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</row>
    <row r="6" spans="1:22" x14ac:dyDescent="0.3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</row>
    <row r="7" spans="1:22" ht="15.6" x14ac:dyDescent="0.3">
      <c r="A7" s="1"/>
      <c r="B7" s="2"/>
      <c r="C7" s="2"/>
      <c r="D7" s="2"/>
      <c r="E7" s="3"/>
      <c r="F7" s="4"/>
      <c r="G7" s="5"/>
      <c r="H7" s="9"/>
      <c r="I7" s="3"/>
      <c r="J7" s="3"/>
      <c r="K7" s="3"/>
      <c r="L7" s="3"/>
      <c r="M7" s="3"/>
      <c r="N7" s="3"/>
      <c r="O7" s="3"/>
      <c r="P7" s="5"/>
      <c r="Q7" s="5"/>
      <c r="R7" s="10"/>
      <c r="S7" s="2"/>
      <c r="T7" s="5"/>
      <c r="U7" s="5"/>
      <c r="V7" s="2"/>
    </row>
    <row r="8" spans="1:22" ht="15.6" x14ac:dyDescent="0.3">
      <c r="A8" s="11"/>
      <c r="B8" s="75" t="s">
        <v>144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spans="1:22" x14ac:dyDescent="0.3">
      <c r="A9" s="2"/>
      <c r="B9" s="2"/>
      <c r="C9" s="2"/>
      <c r="D9" s="3"/>
      <c r="E9" s="4"/>
      <c r="F9" s="5"/>
      <c r="G9" s="5"/>
      <c r="H9" s="3"/>
      <c r="I9" s="3"/>
      <c r="J9" s="3"/>
      <c r="K9" s="3"/>
      <c r="L9" s="3"/>
      <c r="M9" s="3"/>
      <c r="N9" s="3"/>
      <c r="O9" s="5"/>
      <c r="P9" s="5"/>
      <c r="Q9" s="5"/>
      <c r="R9" s="2"/>
      <c r="S9" s="5"/>
      <c r="T9" s="5"/>
      <c r="U9" s="2"/>
      <c r="V9" s="12"/>
    </row>
    <row r="10" spans="1:22" ht="15" thickBot="1" x14ac:dyDescent="0.35">
      <c r="A10" s="72"/>
      <c r="B10" s="72"/>
      <c r="C10" s="2"/>
      <c r="D10" s="3"/>
      <c r="E10" s="4"/>
      <c r="F10" s="5"/>
      <c r="G10" s="5"/>
      <c r="H10" s="3"/>
      <c r="I10" s="3"/>
      <c r="J10" s="3"/>
      <c r="K10" s="3"/>
      <c r="L10" s="3"/>
      <c r="M10" s="3"/>
      <c r="N10" s="3"/>
      <c r="O10" s="5"/>
      <c r="P10" s="5"/>
      <c r="Q10" s="5"/>
      <c r="R10" s="2"/>
      <c r="S10" s="5"/>
      <c r="T10" s="5"/>
      <c r="U10" s="2"/>
      <c r="V10" s="12"/>
    </row>
    <row r="11" spans="1:22" ht="15" thickBot="1" x14ac:dyDescent="0.35">
      <c r="A11" s="13"/>
      <c r="B11" s="68" t="s">
        <v>3</v>
      </c>
      <c r="C11" s="70" t="s">
        <v>4</v>
      </c>
      <c r="D11" s="70"/>
      <c r="E11" s="70"/>
      <c r="F11" s="70"/>
      <c r="G11" s="70"/>
      <c r="H11" s="71" t="s">
        <v>5</v>
      </c>
      <c r="I11" s="71"/>
      <c r="J11" s="71"/>
      <c r="K11" s="71"/>
      <c r="L11" s="71"/>
      <c r="M11" s="71"/>
      <c r="N11" s="71"/>
      <c r="O11" s="71"/>
      <c r="P11" s="71"/>
      <c r="Q11" s="71"/>
      <c r="R11" s="67" t="s">
        <v>6</v>
      </c>
      <c r="S11" s="61" t="s">
        <v>7</v>
      </c>
      <c r="T11" s="66" t="s">
        <v>8</v>
      </c>
      <c r="U11" s="61" t="s">
        <v>9</v>
      </c>
      <c r="V11" s="12"/>
    </row>
    <row r="12" spans="1:22" ht="15" thickBot="1" x14ac:dyDescent="0.35">
      <c r="A12" s="14"/>
      <c r="B12" s="69"/>
      <c r="C12" s="70"/>
      <c r="D12" s="70"/>
      <c r="E12" s="70"/>
      <c r="F12" s="70"/>
      <c r="G12" s="70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67"/>
      <c r="S12" s="67"/>
      <c r="T12" s="67"/>
      <c r="U12" s="61"/>
      <c r="V12" s="12"/>
    </row>
    <row r="13" spans="1:22" ht="15" thickBot="1" x14ac:dyDescent="0.35">
      <c r="A13" s="15"/>
      <c r="B13" s="69"/>
      <c r="C13" s="16" t="s">
        <v>10</v>
      </c>
      <c r="D13" s="17"/>
      <c r="E13" s="18"/>
      <c r="F13" s="19"/>
      <c r="G13" s="20"/>
      <c r="H13" s="62" t="s">
        <v>11</v>
      </c>
      <c r="I13" s="62"/>
      <c r="J13" s="62"/>
      <c r="K13" s="62"/>
      <c r="L13" s="63" t="s">
        <v>12</v>
      </c>
      <c r="M13" s="63"/>
      <c r="N13" s="63"/>
      <c r="O13" s="64" t="s">
        <v>13</v>
      </c>
      <c r="P13" s="64"/>
      <c r="Q13" s="64"/>
      <c r="R13" s="67"/>
      <c r="S13" s="67"/>
      <c r="T13" s="67"/>
      <c r="U13" s="61"/>
      <c r="V13" s="2"/>
    </row>
    <row r="14" spans="1:22" ht="15" thickBot="1" x14ac:dyDescent="0.35">
      <c r="A14" s="15"/>
      <c r="B14" s="69"/>
      <c r="C14" s="19" t="s">
        <v>14</v>
      </c>
      <c r="D14" s="17"/>
      <c r="E14" s="18" t="s">
        <v>15</v>
      </c>
      <c r="F14" s="19"/>
      <c r="G14" s="20"/>
      <c r="H14" s="62"/>
      <c r="I14" s="62"/>
      <c r="J14" s="62"/>
      <c r="K14" s="62"/>
      <c r="L14" s="63"/>
      <c r="M14" s="63"/>
      <c r="N14" s="63"/>
      <c r="O14" s="64"/>
      <c r="P14" s="64"/>
      <c r="Q14" s="64"/>
      <c r="R14" s="67"/>
      <c r="S14" s="67"/>
      <c r="T14" s="67"/>
      <c r="U14" s="61"/>
      <c r="V14" s="2"/>
    </row>
    <row r="15" spans="1:22" ht="15" thickBot="1" x14ac:dyDescent="0.35">
      <c r="A15" s="15" t="s">
        <v>16</v>
      </c>
      <c r="B15" s="69"/>
      <c r="C15" s="19" t="s">
        <v>17</v>
      </c>
      <c r="D15" s="17" t="s">
        <v>11</v>
      </c>
      <c r="E15" s="18" t="s">
        <v>18</v>
      </c>
      <c r="F15" s="19" t="s">
        <v>12</v>
      </c>
      <c r="G15" s="20" t="s">
        <v>13</v>
      </c>
      <c r="H15" s="62"/>
      <c r="I15" s="62"/>
      <c r="J15" s="62"/>
      <c r="K15" s="62"/>
      <c r="L15" s="63"/>
      <c r="M15" s="63"/>
      <c r="N15" s="63"/>
      <c r="O15" s="64"/>
      <c r="P15" s="64"/>
      <c r="Q15" s="64"/>
      <c r="R15" s="67"/>
      <c r="S15" s="67"/>
      <c r="T15" s="67"/>
      <c r="U15" s="61"/>
      <c r="V15" s="2"/>
    </row>
    <row r="16" spans="1:22" x14ac:dyDescent="0.3">
      <c r="A16" s="15"/>
      <c r="B16" s="69"/>
      <c r="C16" s="19" t="s">
        <v>19</v>
      </c>
      <c r="D16" s="17"/>
      <c r="E16" s="18" t="s">
        <v>20</v>
      </c>
      <c r="F16" s="19"/>
      <c r="G16" s="19"/>
      <c r="H16" s="17"/>
      <c r="I16" s="17"/>
      <c r="J16" s="17"/>
      <c r="K16" s="17"/>
      <c r="L16" s="17"/>
      <c r="M16" s="17"/>
      <c r="N16" s="17"/>
      <c r="O16" s="19"/>
      <c r="P16" s="19"/>
      <c r="Q16" s="19"/>
      <c r="R16" s="67"/>
      <c r="S16" s="67"/>
      <c r="T16" s="67"/>
      <c r="U16" s="61"/>
      <c r="V16" s="2"/>
    </row>
    <row r="17" spans="1:22" x14ac:dyDescent="0.3">
      <c r="A17" s="15"/>
      <c r="B17" s="69"/>
      <c r="C17" s="19" t="s">
        <v>21</v>
      </c>
      <c r="D17" s="17"/>
      <c r="E17" s="18" t="s">
        <v>22</v>
      </c>
      <c r="F17" s="19"/>
      <c r="G17" s="19"/>
      <c r="H17" s="17" t="s">
        <v>23</v>
      </c>
      <c r="I17" s="17" t="s">
        <v>24</v>
      </c>
      <c r="J17" s="17" t="s">
        <v>25</v>
      </c>
      <c r="K17" s="17" t="s">
        <v>26</v>
      </c>
      <c r="L17" s="17" t="s">
        <v>23</v>
      </c>
      <c r="M17" s="17" t="s">
        <v>24</v>
      </c>
      <c r="N17" s="17" t="s">
        <v>25</v>
      </c>
      <c r="O17" s="19" t="s">
        <v>23</v>
      </c>
      <c r="P17" s="19" t="s">
        <v>24</v>
      </c>
      <c r="Q17" s="19" t="s">
        <v>25</v>
      </c>
      <c r="R17" s="21"/>
      <c r="S17" s="65" t="s">
        <v>27</v>
      </c>
      <c r="T17" s="22"/>
      <c r="U17" s="23"/>
      <c r="V17" s="12"/>
    </row>
    <row r="18" spans="1:22" x14ac:dyDescent="0.3">
      <c r="A18" s="14"/>
      <c r="B18" s="69"/>
      <c r="C18" s="19"/>
      <c r="D18" s="17"/>
      <c r="E18" s="18" t="s">
        <v>28</v>
      </c>
      <c r="F18" s="19"/>
      <c r="G18" s="19"/>
      <c r="H18" s="17"/>
      <c r="I18" s="17"/>
      <c r="J18" s="17"/>
      <c r="K18" s="17"/>
      <c r="L18" s="17"/>
      <c r="M18" s="17"/>
      <c r="N18" s="17"/>
      <c r="O18" s="19"/>
      <c r="P18" s="19"/>
      <c r="Q18" s="19"/>
      <c r="R18" s="21"/>
      <c r="S18" s="65"/>
      <c r="T18" s="22"/>
      <c r="U18" s="23"/>
      <c r="V18" s="12"/>
    </row>
    <row r="19" spans="1:22" x14ac:dyDescent="0.3">
      <c r="A19" s="14"/>
      <c r="B19" s="69"/>
      <c r="C19" s="18" t="s">
        <v>29</v>
      </c>
      <c r="D19" s="24" t="s">
        <v>29</v>
      </c>
      <c r="E19" s="18" t="s">
        <v>29</v>
      </c>
      <c r="F19" s="18" t="s">
        <v>29</v>
      </c>
      <c r="G19" s="18" t="s">
        <v>29</v>
      </c>
      <c r="H19" s="24" t="s">
        <v>30</v>
      </c>
      <c r="I19" s="18" t="s">
        <v>30</v>
      </c>
      <c r="J19" s="24" t="s">
        <v>30</v>
      </c>
      <c r="K19" s="24" t="s">
        <v>30</v>
      </c>
      <c r="L19" s="24" t="s">
        <v>30</v>
      </c>
      <c r="M19" s="18" t="s">
        <v>30</v>
      </c>
      <c r="N19" s="24" t="s">
        <v>30</v>
      </c>
      <c r="O19" s="18" t="s">
        <v>30</v>
      </c>
      <c r="P19" s="18" t="s">
        <v>30</v>
      </c>
      <c r="Q19" s="18" t="s">
        <v>30</v>
      </c>
      <c r="R19" s="25" t="s">
        <v>30</v>
      </c>
      <c r="S19" s="26" t="s">
        <v>30</v>
      </c>
      <c r="T19" s="26" t="s">
        <v>30</v>
      </c>
      <c r="U19" s="27" t="s">
        <v>30</v>
      </c>
      <c r="V19" s="12"/>
    </row>
    <row r="20" spans="1:22" ht="15" thickBot="1" x14ac:dyDescent="0.35">
      <c r="A20" s="14"/>
      <c r="B20" s="15" t="s">
        <v>31</v>
      </c>
      <c r="C20" s="28" t="s">
        <v>32</v>
      </c>
      <c r="D20" s="29" t="s">
        <v>33</v>
      </c>
      <c r="E20" s="28" t="s">
        <v>34</v>
      </c>
      <c r="F20" s="28" t="s">
        <v>35</v>
      </c>
      <c r="G20" s="28" t="s">
        <v>36</v>
      </c>
      <c r="H20" s="29" t="s">
        <v>37</v>
      </c>
      <c r="I20" s="29" t="s">
        <v>38</v>
      </c>
      <c r="J20" s="29" t="s">
        <v>39</v>
      </c>
      <c r="K20" s="24" t="s">
        <v>40</v>
      </c>
      <c r="L20" s="29" t="s">
        <v>41</v>
      </c>
      <c r="M20" s="29" t="s">
        <v>42</v>
      </c>
      <c r="N20" s="29" t="s">
        <v>43</v>
      </c>
      <c r="O20" s="29" t="s">
        <v>44</v>
      </c>
      <c r="P20" s="29" t="s">
        <v>45</v>
      </c>
      <c r="Q20" s="29" t="s">
        <v>46</v>
      </c>
      <c r="R20" s="30" t="s">
        <v>47</v>
      </c>
      <c r="S20" s="31" t="s">
        <v>48</v>
      </c>
      <c r="T20" s="32" t="s">
        <v>49</v>
      </c>
      <c r="U20" s="33" t="s">
        <v>50</v>
      </c>
      <c r="V20" s="2"/>
    </row>
    <row r="21" spans="1:22" x14ac:dyDescent="0.3">
      <c r="A21" s="34"/>
      <c r="B21" s="35"/>
      <c r="C21" s="35"/>
      <c r="D21" s="35"/>
      <c r="E21" s="35"/>
      <c r="F21" s="35"/>
      <c r="G21" s="36"/>
      <c r="H21" s="35"/>
      <c r="I21" s="35"/>
      <c r="J21" s="37"/>
      <c r="K21" s="35"/>
      <c r="L21" s="38"/>
      <c r="M21" s="35"/>
      <c r="N21" s="35"/>
      <c r="O21" s="38"/>
      <c r="P21" s="35"/>
      <c r="Q21" s="35"/>
      <c r="R21" s="39"/>
      <c r="S21" s="40"/>
      <c r="T21" s="41"/>
      <c r="U21" s="42"/>
      <c r="V21" s="2"/>
    </row>
    <row r="22" spans="1:22" x14ac:dyDescent="0.3">
      <c r="A22" s="43" t="s">
        <v>51</v>
      </c>
      <c r="B22" s="44">
        <v>154</v>
      </c>
      <c r="C22" s="44">
        <v>720.44320000000016</v>
      </c>
      <c r="D22" s="44">
        <v>507.78870000000018</v>
      </c>
      <c r="E22" s="45"/>
      <c r="F22" s="46">
        <v>40.1845</v>
      </c>
      <c r="G22" s="45">
        <v>172.47000000000003</v>
      </c>
      <c r="H22" s="47">
        <v>6502.079999999999</v>
      </c>
      <c r="I22" s="44">
        <v>2206.58</v>
      </c>
      <c r="J22" s="44">
        <v>6372.23</v>
      </c>
      <c r="K22" s="44">
        <v>0</v>
      </c>
      <c r="L22" s="44">
        <v>876.18</v>
      </c>
      <c r="M22" s="44">
        <v>211.23</v>
      </c>
      <c r="N22" s="44">
        <v>80.98</v>
      </c>
      <c r="O22" s="44">
        <v>2503.0599999999986</v>
      </c>
      <c r="P22" s="44">
        <v>1172.1799999999996</v>
      </c>
      <c r="Q22" s="48">
        <v>1701.5900000000001</v>
      </c>
      <c r="R22" s="45"/>
      <c r="S22" s="49">
        <v>21626.109999999997</v>
      </c>
      <c r="T22" s="48">
        <v>147.54000000000451</v>
      </c>
      <c r="U22" s="50">
        <v>21773.65</v>
      </c>
      <c r="V22" s="12"/>
    </row>
    <row r="23" spans="1:22" x14ac:dyDescent="0.3">
      <c r="A23" s="43" t="s">
        <v>52</v>
      </c>
      <c r="B23" s="44">
        <v>858</v>
      </c>
      <c r="C23" s="44">
        <v>2466.3793000000005</v>
      </c>
      <c r="D23" s="44">
        <v>2418.5705000000007</v>
      </c>
      <c r="E23" s="45"/>
      <c r="F23" s="46"/>
      <c r="G23" s="45">
        <v>47.808799999999998</v>
      </c>
      <c r="H23" s="47">
        <v>134496.91000000009</v>
      </c>
      <c r="I23" s="44"/>
      <c r="J23" s="44"/>
      <c r="K23" s="44">
        <v>0</v>
      </c>
      <c r="L23" s="44"/>
      <c r="M23" s="44"/>
      <c r="N23" s="44"/>
      <c r="O23" s="44">
        <v>1006.4800000000001</v>
      </c>
      <c r="P23" s="44">
        <v>2.6999999999999997</v>
      </c>
      <c r="Q23" s="48">
        <v>4.0199999999999996</v>
      </c>
      <c r="R23" s="45"/>
      <c r="S23" s="49">
        <v>135510.1100000001</v>
      </c>
      <c r="T23" s="48">
        <v>994.64000000007218</v>
      </c>
      <c r="U23" s="50">
        <v>136504.75000000017</v>
      </c>
      <c r="V23" s="12"/>
    </row>
    <row r="24" spans="1:22" x14ac:dyDescent="0.3">
      <c r="A24" s="43" t="s">
        <v>53</v>
      </c>
      <c r="B24" s="44">
        <v>58</v>
      </c>
      <c r="C24" s="44">
        <v>576.78469999999982</v>
      </c>
      <c r="D24" s="44">
        <v>519.3191999999998</v>
      </c>
      <c r="E24" s="45"/>
      <c r="F24" s="46">
        <v>14.001300000000001</v>
      </c>
      <c r="G24" s="45">
        <v>43.464200000000005</v>
      </c>
      <c r="H24" s="47">
        <v>5552.6200000000008</v>
      </c>
      <c r="I24" s="44">
        <v>7804.2399999999989</v>
      </c>
      <c r="J24" s="44">
        <v>1429.4199999999998</v>
      </c>
      <c r="K24" s="44">
        <v>0</v>
      </c>
      <c r="L24" s="44">
        <v>270</v>
      </c>
      <c r="M24" s="44">
        <v>132.30000000000001</v>
      </c>
      <c r="N24" s="44"/>
      <c r="O24" s="44">
        <v>471.76</v>
      </c>
      <c r="P24" s="44">
        <v>141.79</v>
      </c>
      <c r="Q24" s="48">
        <v>171.8</v>
      </c>
      <c r="R24" s="45"/>
      <c r="S24" s="49">
        <v>15973.93</v>
      </c>
      <c r="T24" s="48">
        <v>386.94000000000233</v>
      </c>
      <c r="U24" s="50">
        <v>16360.870000000003</v>
      </c>
      <c r="V24" s="12"/>
    </row>
    <row r="25" spans="1:22" x14ac:dyDescent="0.3">
      <c r="A25" s="43" t="s">
        <v>54</v>
      </c>
      <c r="B25" s="44">
        <v>59</v>
      </c>
      <c r="C25" s="44">
        <v>708.06970000000024</v>
      </c>
      <c r="D25" s="44">
        <v>276.12140000000016</v>
      </c>
      <c r="E25" s="45"/>
      <c r="F25" s="46">
        <v>367.44930000000011</v>
      </c>
      <c r="G25" s="45">
        <v>64.498999999999995</v>
      </c>
      <c r="H25" s="47">
        <v>1777.6899999999998</v>
      </c>
      <c r="I25" s="44">
        <v>3160.9500000000003</v>
      </c>
      <c r="J25" s="44">
        <v>4832.7400000000007</v>
      </c>
      <c r="K25" s="44">
        <v>0</v>
      </c>
      <c r="L25" s="44">
        <v>2656.51</v>
      </c>
      <c r="M25" s="44">
        <v>1602.8</v>
      </c>
      <c r="N25" s="44">
        <v>9313.26</v>
      </c>
      <c r="O25" s="44">
        <v>312.2</v>
      </c>
      <c r="P25" s="44">
        <v>152.06</v>
      </c>
      <c r="Q25" s="48">
        <v>1306</v>
      </c>
      <c r="R25" s="45"/>
      <c r="S25" s="49">
        <v>25114.210000000003</v>
      </c>
      <c r="T25" s="48">
        <v>835.06000000000495</v>
      </c>
      <c r="U25" s="50">
        <v>25949.270000000008</v>
      </c>
      <c r="V25" s="12"/>
    </row>
    <row r="26" spans="1:22" x14ac:dyDescent="0.3">
      <c r="A26" s="43" t="s">
        <v>55</v>
      </c>
      <c r="B26" s="44">
        <v>63</v>
      </c>
      <c r="C26" s="44">
        <v>142.77090000000001</v>
      </c>
      <c r="D26" s="44"/>
      <c r="E26" s="45"/>
      <c r="F26" s="46">
        <v>137.30760000000001</v>
      </c>
      <c r="G26" s="45">
        <v>5.4633000000000003</v>
      </c>
      <c r="H26" s="47"/>
      <c r="I26" s="44"/>
      <c r="J26" s="44"/>
      <c r="K26" s="44">
        <v>0</v>
      </c>
      <c r="L26" s="44">
        <v>1204.6300000000001</v>
      </c>
      <c r="M26" s="44">
        <v>1707.74</v>
      </c>
      <c r="N26" s="44">
        <v>1302.3100000000004</v>
      </c>
      <c r="O26" s="44">
        <v>26.68</v>
      </c>
      <c r="P26" s="44">
        <v>36.549999999999997</v>
      </c>
      <c r="Q26" s="48"/>
      <c r="R26" s="45"/>
      <c r="S26" s="49">
        <v>4277.9100000000008</v>
      </c>
      <c r="T26" s="48">
        <v>143.09999999999945</v>
      </c>
      <c r="U26" s="50">
        <v>4421.01</v>
      </c>
      <c r="V26" s="12"/>
    </row>
    <row r="27" spans="1:22" x14ac:dyDescent="0.3">
      <c r="A27" s="43" t="s">
        <v>56</v>
      </c>
      <c r="B27" s="44">
        <v>19</v>
      </c>
      <c r="C27" s="44">
        <v>86.866299999999995</v>
      </c>
      <c r="D27" s="44">
        <v>58.938699999999997</v>
      </c>
      <c r="E27" s="45"/>
      <c r="F27" s="46">
        <v>26.085599999999996</v>
      </c>
      <c r="G27" s="45">
        <v>1.8419999999999999</v>
      </c>
      <c r="H27" s="47">
        <v>489.62</v>
      </c>
      <c r="I27" s="44">
        <v>499.51</v>
      </c>
      <c r="J27" s="44">
        <v>221.79</v>
      </c>
      <c r="K27" s="44">
        <v>0</v>
      </c>
      <c r="L27" s="44">
        <v>222.79000000000002</v>
      </c>
      <c r="M27" s="44">
        <v>341.05</v>
      </c>
      <c r="N27" s="44">
        <v>166.91</v>
      </c>
      <c r="O27" s="44">
        <v>43.01</v>
      </c>
      <c r="P27" s="44">
        <v>21.900000000000002</v>
      </c>
      <c r="Q27" s="48"/>
      <c r="R27" s="45"/>
      <c r="S27" s="49">
        <v>2006.5800000000002</v>
      </c>
      <c r="T27" s="48">
        <v>31.1599999999994</v>
      </c>
      <c r="U27" s="50">
        <v>2037.7399999999996</v>
      </c>
      <c r="V27" s="12"/>
    </row>
    <row r="28" spans="1:22" x14ac:dyDescent="0.3">
      <c r="A28" s="43" t="s">
        <v>57</v>
      </c>
      <c r="B28" s="44">
        <v>1270</v>
      </c>
      <c r="C28" s="44">
        <v>10283.739699999993</v>
      </c>
      <c r="D28" s="44">
        <v>2717.0506999999993</v>
      </c>
      <c r="E28" s="45"/>
      <c r="F28" s="46">
        <v>7108.9900999999936</v>
      </c>
      <c r="G28" s="45">
        <v>457.69890000000009</v>
      </c>
      <c r="H28" s="47">
        <v>11496.96999999999</v>
      </c>
      <c r="I28" s="44">
        <v>81860.47</v>
      </c>
      <c r="J28" s="44">
        <v>2692.1200000000008</v>
      </c>
      <c r="K28" s="44">
        <v>659.46999999999991</v>
      </c>
      <c r="L28" s="44">
        <v>91197.839999999982</v>
      </c>
      <c r="M28" s="44">
        <v>126733.81999999995</v>
      </c>
      <c r="N28" s="44">
        <v>156826.96000000011</v>
      </c>
      <c r="O28" s="44">
        <v>6163.5300000000007</v>
      </c>
      <c r="P28" s="44">
        <v>10463.790000000001</v>
      </c>
      <c r="Q28" s="48">
        <v>1092.69</v>
      </c>
      <c r="R28" s="45"/>
      <c r="S28" s="49">
        <v>489187.66000000003</v>
      </c>
      <c r="T28" s="48">
        <v>10240.379999999539</v>
      </c>
      <c r="U28" s="50">
        <v>499428.03999999957</v>
      </c>
      <c r="V28" s="12"/>
    </row>
    <row r="29" spans="1:22" x14ac:dyDescent="0.3">
      <c r="A29" s="43" t="s">
        <v>58</v>
      </c>
      <c r="B29" s="44">
        <v>17</v>
      </c>
      <c r="C29" s="44">
        <v>65.045199999999994</v>
      </c>
      <c r="D29" s="44"/>
      <c r="E29" s="45"/>
      <c r="F29" s="46">
        <v>56.147499999999994</v>
      </c>
      <c r="G29" s="45">
        <v>8.8977000000000022</v>
      </c>
      <c r="H29" s="47"/>
      <c r="I29" s="44"/>
      <c r="J29" s="44"/>
      <c r="K29" s="44">
        <v>0</v>
      </c>
      <c r="L29" s="44">
        <v>162.83000000000001</v>
      </c>
      <c r="M29" s="44">
        <v>992.42</v>
      </c>
      <c r="N29" s="44">
        <v>198.76</v>
      </c>
      <c r="O29" s="44">
        <v>44.5</v>
      </c>
      <c r="P29" s="44">
        <v>108.4</v>
      </c>
      <c r="Q29" s="48">
        <v>15</v>
      </c>
      <c r="R29" s="45"/>
      <c r="S29" s="49">
        <v>1521.91</v>
      </c>
      <c r="T29" s="48">
        <v>32.110000000000127</v>
      </c>
      <c r="U29" s="50">
        <v>1554.0200000000002</v>
      </c>
      <c r="V29" s="12"/>
    </row>
    <row r="30" spans="1:22" x14ac:dyDescent="0.3">
      <c r="A30" s="43" t="s">
        <v>59</v>
      </c>
      <c r="B30" s="44">
        <v>2588</v>
      </c>
      <c r="C30" s="44">
        <v>6808.573400000002</v>
      </c>
      <c r="D30" s="44">
        <v>6794.573400000002</v>
      </c>
      <c r="E30" s="45"/>
      <c r="F30" s="46"/>
      <c r="G30" s="45">
        <v>14</v>
      </c>
      <c r="H30" s="47">
        <v>212906.0199999999</v>
      </c>
      <c r="I30" s="44"/>
      <c r="J30" s="44"/>
      <c r="K30" s="44">
        <v>0</v>
      </c>
      <c r="L30" s="44"/>
      <c r="M30" s="44"/>
      <c r="N30" s="44"/>
      <c r="O30" s="44"/>
      <c r="P30" s="44"/>
      <c r="Q30" s="48">
        <v>202.2</v>
      </c>
      <c r="R30" s="45"/>
      <c r="S30" s="49">
        <v>213108.21999999991</v>
      </c>
      <c r="T30" s="48">
        <v>-1503.6699999998673</v>
      </c>
      <c r="U30" s="50">
        <v>211604.55000000005</v>
      </c>
      <c r="V30" s="12"/>
    </row>
    <row r="31" spans="1:22" x14ac:dyDescent="0.3">
      <c r="A31" s="43" t="s">
        <v>60</v>
      </c>
      <c r="B31" s="44">
        <v>4159</v>
      </c>
      <c r="C31" s="44">
        <v>61296.792199999923</v>
      </c>
      <c r="D31" s="44">
        <v>16360.831499999973</v>
      </c>
      <c r="E31" s="45"/>
      <c r="F31" s="46">
        <v>41761.864499999952</v>
      </c>
      <c r="G31" s="45">
        <v>3174.0962000000009</v>
      </c>
      <c r="H31" s="47">
        <v>100299.73000000003</v>
      </c>
      <c r="I31" s="44">
        <v>224566.7699999999</v>
      </c>
      <c r="J31" s="44">
        <v>55779.060000000019</v>
      </c>
      <c r="K31" s="44">
        <v>48.41</v>
      </c>
      <c r="L31" s="44">
        <v>579214.93999999901</v>
      </c>
      <c r="M31" s="44">
        <v>1003772.6300000005</v>
      </c>
      <c r="N31" s="44">
        <v>446385.87999999971</v>
      </c>
      <c r="O31" s="44">
        <v>67404.950000000012</v>
      </c>
      <c r="P31" s="44">
        <v>92836.910000000047</v>
      </c>
      <c r="Q31" s="48">
        <v>14134.53</v>
      </c>
      <c r="R31" s="45"/>
      <c r="S31" s="49">
        <v>2584443.8099999996</v>
      </c>
      <c r="T31" s="48">
        <v>34522.749999984633</v>
      </c>
      <c r="U31" s="50">
        <v>2618966.5599999842</v>
      </c>
      <c r="V31" s="12"/>
    </row>
    <row r="32" spans="1:22" x14ac:dyDescent="0.3">
      <c r="A32" s="43" t="s">
        <v>61</v>
      </c>
      <c r="B32" s="44">
        <v>99</v>
      </c>
      <c r="C32" s="44">
        <v>390.0797</v>
      </c>
      <c r="D32" s="44">
        <v>261.09549999999996</v>
      </c>
      <c r="E32" s="45"/>
      <c r="F32" s="46">
        <v>79.003500000000045</v>
      </c>
      <c r="G32" s="45">
        <v>49.980699999999992</v>
      </c>
      <c r="H32" s="47">
        <v>161.19999999999999</v>
      </c>
      <c r="I32" s="44">
        <v>3118.36</v>
      </c>
      <c r="J32" s="44">
        <v>1047.0400000000002</v>
      </c>
      <c r="K32" s="44">
        <v>0</v>
      </c>
      <c r="L32" s="44">
        <v>448.2399999999999</v>
      </c>
      <c r="M32" s="44">
        <v>854.29000000000008</v>
      </c>
      <c r="N32" s="44">
        <v>102.68</v>
      </c>
      <c r="O32" s="44">
        <v>60.4</v>
      </c>
      <c r="P32" s="44">
        <v>417.84999999999997</v>
      </c>
      <c r="Q32" s="48">
        <v>148.9</v>
      </c>
      <c r="R32" s="45"/>
      <c r="S32" s="49">
        <v>6358.96</v>
      </c>
      <c r="T32" s="48">
        <v>66.050000000002001</v>
      </c>
      <c r="U32" s="50">
        <v>6425.010000000002</v>
      </c>
      <c r="V32" s="12"/>
    </row>
    <row r="33" spans="1:22" x14ac:dyDescent="0.3">
      <c r="A33" s="43" t="s">
        <v>62</v>
      </c>
      <c r="B33" s="44">
        <v>958</v>
      </c>
      <c r="C33" s="44">
        <v>11520.456000000002</v>
      </c>
      <c r="D33" s="44">
        <v>7125.3904999999995</v>
      </c>
      <c r="E33" s="45"/>
      <c r="F33" s="46">
        <v>4099.2317000000021</v>
      </c>
      <c r="G33" s="45">
        <v>295.83380000000005</v>
      </c>
      <c r="H33" s="47">
        <v>30935.139999999992</v>
      </c>
      <c r="I33" s="44">
        <v>20622.480000000003</v>
      </c>
      <c r="J33" s="44">
        <v>241639.14999999976</v>
      </c>
      <c r="K33" s="44">
        <v>3.38</v>
      </c>
      <c r="L33" s="44">
        <v>32057.479999999978</v>
      </c>
      <c r="M33" s="44">
        <v>27784.149999999998</v>
      </c>
      <c r="N33" s="44">
        <v>171960.52999999997</v>
      </c>
      <c r="O33" s="44">
        <v>9888.18</v>
      </c>
      <c r="P33" s="44">
        <v>1934.28</v>
      </c>
      <c r="Q33" s="48">
        <v>14568.69</v>
      </c>
      <c r="R33" s="45"/>
      <c r="S33" s="49">
        <v>551393.45999999985</v>
      </c>
      <c r="T33" s="48">
        <v>24105.590000000666</v>
      </c>
      <c r="U33" s="50">
        <v>575499.05000000051</v>
      </c>
      <c r="V33" s="12"/>
    </row>
    <row r="34" spans="1:22" x14ac:dyDescent="0.3">
      <c r="A34" s="43" t="s">
        <v>63</v>
      </c>
      <c r="B34" s="44">
        <v>1</v>
      </c>
      <c r="C34" s="44">
        <v>6.6</v>
      </c>
      <c r="D34" s="44"/>
      <c r="E34" s="45"/>
      <c r="F34" s="46">
        <v>6.6</v>
      </c>
      <c r="G34" s="45"/>
      <c r="H34" s="47"/>
      <c r="I34" s="44"/>
      <c r="J34" s="44"/>
      <c r="K34" s="44">
        <v>0</v>
      </c>
      <c r="L34" s="44">
        <v>125.71000000000001</v>
      </c>
      <c r="M34" s="44">
        <v>69.66</v>
      </c>
      <c r="N34" s="44"/>
      <c r="O34" s="44"/>
      <c r="P34" s="44"/>
      <c r="Q34" s="48"/>
      <c r="R34" s="45"/>
      <c r="S34" s="49">
        <v>195.37</v>
      </c>
      <c r="T34" s="48">
        <v>0</v>
      </c>
      <c r="U34" s="50">
        <v>195.37</v>
      </c>
      <c r="V34" s="12"/>
    </row>
    <row r="35" spans="1:22" x14ac:dyDescent="0.3">
      <c r="A35" s="43" t="s">
        <v>64</v>
      </c>
      <c r="B35" s="44">
        <v>4</v>
      </c>
      <c r="C35" s="44">
        <v>7.0260999999999996</v>
      </c>
      <c r="D35" s="44">
        <v>1.8101</v>
      </c>
      <c r="E35" s="45"/>
      <c r="F35" s="46">
        <v>4.9059999999999997</v>
      </c>
      <c r="G35" s="45">
        <v>0.31</v>
      </c>
      <c r="H35" s="47">
        <v>4.3</v>
      </c>
      <c r="I35" s="44">
        <v>6.5</v>
      </c>
      <c r="J35" s="44"/>
      <c r="K35" s="44">
        <v>0</v>
      </c>
      <c r="L35" s="44">
        <v>4</v>
      </c>
      <c r="M35" s="44">
        <v>19.600000000000001</v>
      </c>
      <c r="N35" s="44"/>
      <c r="O35" s="44">
        <v>0</v>
      </c>
      <c r="P35" s="44">
        <v>0</v>
      </c>
      <c r="Q35" s="48"/>
      <c r="R35" s="45"/>
      <c r="S35" s="49">
        <v>34.400000000000006</v>
      </c>
      <c r="T35" s="48">
        <v>0.59999999999999432</v>
      </c>
      <c r="U35" s="50">
        <v>35</v>
      </c>
      <c r="V35" s="12"/>
    </row>
    <row r="36" spans="1:22" x14ac:dyDescent="0.3">
      <c r="A36" s="43" t="s">
        <v>65</v>
      </c>
      <c r="B36" s="44">
        <v>1955</v>
      </c>
      <c r="C36" s="44">
        <v>47472.564199999833</v>
      </c>
      <c r="D36" s="44">
        <v>108.94459999999995</v>
      </c>
      <c r="E36" s="45">
        <v>44379.704799999839</v>
      </c>
      <c r="F36" s="46">
        <v>291.90789999999987</v>
      </c>
      <c r="G36" s="45">
        <v>2692.0068999999894</v>
      </c>
      <c r="H36" s="47">
        <v>2283.5700000000006</v>
      </c>
      <c r="I36" s="44">
        <v>2543.6</v>
      </c>
      <c r="J36" s="44"/>
      <c r="K36" s="44">
        <v>0</v>
      </c>
      <c r="L36" s="44">
        <v>3117.5300000000007</v>
      </c>
      <c r="M36" s="44">
        <v>6716.5400000000009</v>
      </c>
      <c r="N36" s="44">
        <v>686.5</v>
      </c>
      <c r="O36" s="44">
        <v>51976.23000000001</v>
      </c>
      <c r="P36" s="44">
        <v>5625.75</v>
      </c>
      <c r="Q36" s="48">
        <v>1753.28</v>
      </c>
      <c r="R36" s="45">
        <v>3939980.9299999974</v>
      </c>
      <c r="S36" s="49">
        <v>4014683.9299999974</v>
      </c>
      <c r="T36" s="48">
        <v>58096.270000000019</v>
      </c>
      <c r="U36" s="50">
        <v>4072780.1999999974</v>
      </c>
      <c r="V36" s="12"/>
    </row>
    <row r="37" spans="1:22" x14ac:dyDescent="0.3">
      <c r="A37" s="43" t="s">
        <v>66</v>
      </c>
      <c r="B37" s="44">
        <v>2461</v>
      </c>
      <c r="C37" s="44">
        <v>49392.010999999919</v>
      </c>
      <c r="D37" s="44">
        <v>791.06420000000094</v>
      </c>
      <c r="E37" s="45">
        <v>43779.448099999929</v>
      </c>
      <c r="F37" s="46">
        <v>1100.2788000000003</v>
      </c>
      <c r="G37" s="45">
        <v>3721.219899999986</v>
      </c>
      <c r="H37" s="47">
        <v>18179.21</v>
      </c>
      <c r="I37" s="44">
        <v>29293.029999999992</v>
      </c>
      <c r="J37" s="44">
        <v>1112.4000000000001</v>
      </c>
      <c r="K37" s="44">
        <v>0</v>
      </c>
      <c r="L37" s="44">
        <v>21530.940000000002</v>
      </c>
      <c r="M37" s="44">
        <v>18344.349999999991</v>
      </c>
      <c r="N37" s="44">
        <v>8830</v>
      </c>
      <c r="O37" s="44">
        <v>162910.96</v>
      </c>
      <c r="P37" s="44">
        <v>11141.100000000002</v>
      </c>
      <c r="Q37" s="48">
        <v>4669.2000000000007</v>
      </c>
      <c r="R37" s="45">
        <v>3741497.5699999989</v>
      </c>
      <c r="S37" s="49">
        <v>4017508.7599999988</v>
      </c>
      <c r="T37" s="48">
        <v>87326.040000003763</v>
      </c>
      <c r="U37" s="50">
        <v>4104834.8000000026</v>
      </c>
      <c r="V37" s="12"/>
    </row>
    <row r="38" spans="1:22" x14ac:dyDescent="0.3">
      <c r="A38" s="43" t="s">
        <v>67</v>
      </c>
      <c r="B38" s="44">
        <v>436</v>
      </c>
      <c r="C38" s="44">
        <v>4489.0226000000002</v>
      </c>
      <c r="D38" s="44">
        <v>4359.3967000000002</v>
      </c>
      <c r="E38" s="45"/>
      <c r="F38" s="46">
        <v>78.955299999999994</v>
      </c>
      <c r="G38" s="45">
        <v>50.6706</v>
      </c>
      <c r="H38" s="47">
        <v>166570.01999999996</v>
      </c>
      <c r="I38" s="44">
        <v>20166.680000000004</v>
      </c>
      <c r="J38" s="44">
        <v>7180.3099999999986</v>
      </c>
      <c r="K38" s="44">
        <v>0</v>
      </c>
      <c r="L38" s="44">
        <v>1306.47</v>
      </c>
      <c r="M38" s="44">
        <v>232.85999999999999</v>
      </c>
      <c r="N38" s="44">
        <v>205.7</v>
      </c>
      <c r="O38" s="44">
        <v>617.16000000000008</v>
      </c>
      <c r="P38" s="44">
        <v>326.63000000000005</v>
      </c>
      <c r="Q38" s="48">
        <v>170.35000000000002</v>
      </c>
      <c r="R38" s="45"/>
      <c r="S38" s="49">
        <v>196776.17999999996</v>
      </c>
      <c r="T38" s="48">
        <v>1242.6700000000419</v>
      </c>
      <c r="U38" s="50">
        <v>198018.85</v>
      </c>
      <c r="V38" s="12"/>
    </row>
    <row r="39" spans="1:22" x14ac:dyDescent="0.3">
      <c r="A39" s="43" t="s">
        <v>68</v>
      </c>
      <c r="B39" s="44">
        <v>33</v>
      </c>
      <c r="C39" s="44">
        <v>77.151699999999991</v>
      </c>
      <c r="D39" s="44">
        <v>9.6288</v>
      </c>
      <c r="E39" s="45"/>
      <c r="F39" s="46">
        <v>50.842199999999991</v>
      </c>
      <c r="G39" s="45">
        <v>16.680700000000002</v>
      </c>
      <c r="H39" s="47">
        <v>104.1</v>
      </c>
      <c r="I39" s="44">
        <v>0.45</v>
      </c>
      <c r="J39" s="44"/>
      <c r="K39" s="44">
        <v>0</v>
      </c>
      <c r="L39" s="44">
        <v>145.6</v>
      </c>
      <c r="M39" s="44">
        <v>96.99</v>
      </c>
      <c r="N39" s="44">
        <v>253.62999999999997</v>
      </c>
      <c r="O39" s="44">
        <v>40.5</v>
      </c>
      <c r="P39" s="44">
        <v>36.5</v>
      </c>
      <c r="Q39" s="48">
        <v>0.15</v>
      </c>
      <c r="R39" s="45"/>
      <c r="S39" s="49">
        <v>677.92</v>
      </c>
      <c r="T39" s="48">
        <v>0.34999999999990905</v>
      </c>
      <c r="U39" s="50">
        <v>678.26999999999987</v>
      </c>
      <c r="V39" s="12"/>
    </row>
    <row r="40" spans="1:22" x14ac:dyDescent="0.3">
      <c r="A40" s="43" t="s">
        <v>75</v>
      </c>
      <c r="B40" s="44">
        <v>52</v>
      </c>
      <c r="C40" s="44">
        <v>960.67610000000002</v>
      </c>
      <c r="D40" s="44">
        <v>755.23469999999998</v>
      </c>
      <c r="E40" s="45"/>
      <c r="F40" s="46">
        <v>152.0317</v>
      </c>
      <c r="G40" s="45">
        <v>53.409700000000008</v>
      </c>
      <c r="H40" s="47">
        <v>6190.9000000000005</v>
      </c>
      <c r="I40" s="44">
        <v>12979.900000000001</v>
      </c>
      <c r="J40" s="44">
        <v>5809.9699999999993</v>
      </c>
      <c r="K40" s="44">
        <v>0</v>
      </c>
      <c r="L40" s="44">
        <v>1621.69</v>
      </c>
      <c r="M40" s="44">
        <v>2561.8799999999997</v>
      </c>
      <c r="N40" s="44">
        <v>1681.8000000000002</v>
      </c>
      <c r="O40" s="44">
        <v>645</v>
      </c>
      <c r="P40" s="44">
        <v>980.66</v>
      </c>
      <c r="Q40" s="48">
        <v>304.8</v>
      </c>
      <c r="R40" s="45"/>
      <c r="S40" s="49">
        <v>32776.600000000006</v>
      </c>
      <c r="T40" s="48">
        <v>895.13999999999942</v>
      </c>
      <c r="U40" s="50">
        <v>33671.740000000005</v>
      </c>
      <c r="V40" s="12"/>
    </row>
    <row r="41" spans="1:22" x14ac:dyDescent="0.3">
      <c r="A41" s="43" t="s">
        <v>76</v>
      </c>
      <c r="B41" s="44">
        <v>240</v>
      </c>
      <c r="C41" s="44">
        <v>5161.9860999999992</v>
      </c>
      <c r="D41" s="44">
        <v>2286.6226999999999</v>
      </c>
      <c r="E41" s="45"/>
      <c r="F41" s="46">
        <v>2697.3220999999999</v>
      </c>
      <c r="G41" s="45">
        <v>178.04129999999998</v>
      </c>
      <c r="H41" s="47">
        <v>18015.490000000005</v>
      </c>
      <c r="I41" s="44">
        <v>17354.120000000003</v>
      </c>
      <c r="J41" s="44">
        <v>56057.19</v>
      </c>
      <c r="K41" s="44">
        <v>0</v>
      </c>
      <c r="L41" s="44">
        <v>30088.02</v>
      </c>
      <c r="M41" s="44">
        <v>16154.500000000002</v>
      </c>
      <c r="N41" s="44">
        <v>172283.61999999988</v>
      </c>
      <c r="O41" s="44">
        <v>4104.9399999999996</v>
      </c>
      <c r="P41" s="44">
        <v>4416.78</v>
      </c>
      <c r="Q41" s="48">
        <v>770.39</v>
      </c>
      <c r="R41" s="45"/>
      <c r="S41" s="49">
        <v>319245.05</v>
      </c>
      <c r="T41" s="48">
        <v>925.22000000032131</v>
      </c>
      <c r="U41" s="50">
        <v>320170.27000000031</v>
      </c>
      <c r="V41" s="12"/>
    </row>
    <row r="42" spans="1:22" x14ac:dyDescent="0.3">
      <c r="A42" s="43" t="s">
        <v>69</v>
      </c>
      <c r="B42" s="44">
        <v>1356</v>
      </c>
      <c r="C42" s="44">
        <v>9982.3808999999692</v>
      </c>
      <c r="D42" s="44">
        <v>9880.7023999999692</v>
      </c>
      <c r="E42" s="45"/>
      <c r="F42" s="46">
        <v>22.224699999999999</v>
      </c>
      <c r="G42" s="45">
        <v>79.453800000000001</v>
      </c>
      <c r="H42" s="47">
        <v>126543.57999999824</v>
      </c>
      <c r="I42" s="44">
        <v>132801.86999999679</v>
      </c>
      <c r="J42" s="44">
        <v>527.05999999999995</v>
      </c>
      <c r="K42" s="44">
        <v>100.84</v>
      </c>
      <c r="L42" s="44">
        <v>210.42000000000002</v>
      </c>
      <c r="M42" s="44">
        <v>76.92</v>
      </c>
      <c r="N42" s="44">
        <v>1</v>
      </c>
      <c r="O42" s="44">
        <v>557.31999999999994</v>
      </c>
      <c r="P42" s="44">
        <v>414.71999999999997</v>
      </c>
      <c r="Q42" s="48">
        <v>26.02</v>
      </c>
      <c r="R42" s="45"/>
      <c r="S42" s="49">
        <v>261259.74999999505</v>
      </c>
      <c r="T42" s="48">
        <v>2625.0900000007241</v>
      </c>
      <c r="U42" s="50">
        <v>263884.83999999578</v>
      </c>
      <c r="V42" s="12"/>
    </row>
    <row r="43" spans="1:22" x14ac:dyDescent="0.3">
      <c r="A43" s="43" t="s">
        <v>135</v>
      </c>
      <c r="B43" s="44">
        <v>4</v>
      </c>
      <c r="C43" s="44">
        <v>5.7522000000000002</v>
      </c>
      <c r="D43" s="44"/>
      <c r="E43" s="45"/>
      <c r="F43" s="46"/>
      <c r="G43" s="45">
        <v>5.7522000000000002</v>
      </c>
      <c r="H43" s="47"/>
      <c r="I43" s="44"/>
      <c r="J43" s="44"/>
      <c r="K43" s="44">
        <v>0</v>
      </c>
      <c r="L43" s="44"/>
      <c r="M43" s="44"/>
      <c r="N43" s="44"/>
      <c r="O43" s="44">
        <v>17.2</v>
      </c>
      <c r="P43" s="44"/>
      <c r="Q43" s="48">
        <v>0</v>
      </c>
      <c r="R43" s="45"/>
      <c r="S43" s="49">
        <v>17.2</v>
      </c>
      <c r="T43" s="48">
        <v>0</v>
      </c>
      <c r="U43" s="50">
        <v>17.2</v>
      </c>
      <c r="V43" s="12"/>
    </row>
    <row r="44" spans="1:22" x14ac:dyDescent="0.3">
      <c r="A44" s="43" t="s">
        <v>70</v>
      </c>
      <c r="B44" s="44">
        <v>3</v>
      </c>
      <c r="C44" s="44">
        <v>2.1002000000000001</v>
      </c>
      <c r="D44" s="44"/>
      <c r="E44" s="45"/>
      <c r="F44" s="46"/>
      <c r="G44" s="45">
        <v>2.1002000000000001</v>
      </c>
      <c r="H44" s="47"/>
      <c r="I44" s="44"/>
      <c r="J44" s="44"/>
      <c r="K44" s="44">
        <v>0</v>
      </c>
      <c r="L44" s="44"/>
      <c r="M44" s="44"/>
      <c r="N44" s="44"/>
      <c r="O44" s="44">
        <v>26.35</v>
      </c>
      <c r="P44" s="44">
        <v>33.15</v>
      </c>
      <c r="Q44" s="48"/>
      <c r="R44" s="45"/>
      <c r="S44" s="49">
        <v>59.5</v>
      </c>
      <c r="T44" s="48">
        <v>0</v>
      </c>
      <c r="U44" s="50">
        <v>59.5</v>
      </c>
      <c r="V44" s="12"/>
    </row>
    <row r="45" spans="1:22" x14ac:dyDescent="0.3">
      <c r="A45" s="43" t="s">
        <v>71</v>
      </c>
      <c r="B45" s="44">
        <v>521</v>
      </c>
      <c r="C45" s="44">
        <v>10419.086199999991</v>
      </c>
      <c r="D45" s="44">
        <v>9167.1112999999914</v>
      </c>
      <c r="E45" s="45">
        <v>25.0837</v>
      </c>
      <c r="F45" s="46">
        <v>600.85510000000011</v>
      </c>
      <c r="G45" s="45">
        <v>626.03609999999981</v>
      </c>
      <c r="H45" s="47">
        <v>125538.41000000002</v>
      </c>
      <c r="I45" s="44">
        <v>107825.10999999999</v>
      </c>
      <c r="J45" s="44">
        <v>41442.739999999991</v>
      </c>
      <c r="K45" s="44">
        <v>557.76</v>
      </c>
      <c r="L45" s="44">
        <v>8414.6299999999974</v>
      </c>
      <c r="M45" s="44">
        <v>9761.9800000000014</v>
      </c>
      <c r="N45" s="44">
        <v>5408.6399999999994</v>
      </c>
      <c r="O45" s="44">
        <v>4949.18</v>
      </c>
      <c r="P45" s="44">
        <v>3845.09</v>
      </c>
      <c r="Q45" s="48">
        <v>2322.9</v>
      </c>
      <c r="R45" s="45">
        <v>1712</v>
      </c>
      <c r="S45" s="49">
        <v>311778.44000000006</v>
      </c>
      <c r="T45" s="48">
        <v>8350.8699999993551</v>
      </c>
      <c r="U45" s="50">
        <v>320129.30999999942</v>
      </c>
      <c r="V45" s="12"/>
    </row>
    <row r="46" spans="1:22" x14ac:dyDescent="0.3">
      <c r="A46" s="43" t="s">
        <v>72</v>
      </c>
      <c r="B46" s="44">
        <v>10</v>
      </c>
      <c r="C46" s="44">
        <v>25.022600000000001</v>
      </c>
      <c r="D46" s="44">
        <v>8.9672999999999998</v>
      </c>
      <c r="E46" s="45"/>
      <c r="F46" s="46">
        <v>8.1564999999999994</v>
      </c>
      <c r="G46" s="45">
        <v>7.8988000000000005</v>
      </c>
      <c r="H46" s="47">
        <v>78.100000000000009</v>
      </c>
      <c r="I46" s="44">
        <v>35.82</v>
      </c>
      <c r="J46" s="44"/>
      <c r="K46" s="44">
        <v>0</v>
      </c>
      <c r="L46" s="44">
        <v>118</v>
      </c>
      <c r="M46" s="44">
        <v>2.25</v>
      </c>
      <c r="N46" s="44">
        <v>0</v>
      </c>
      <c r="O46" s="44">
        <v>50.94</v>
      </c>
      <c r="P46" s="44">
        <v>11.95</v>
      </c>
      <c r="Q46" s="48">
        <v>5.4499999999999993</v>
      </c>
      <c r="R46" s="45"/>
      <c r="S46" s="49">
        <v>302.51</v>
      </c>
      <c r="T46" s="48">
        <v>18.590000000000032</v>
      </c>
      <c r="U46" s="50">
        <v>321.10000000000002</v>
      </c>
      <c r="V46" s="12"/>
    </row>
    <row r="47" spans="1:22" x14ac:dyDescent="0.3">
      <c r="A47" s="43" t="s">
        <v>73</v>
      </c>
      <c r="B47" s="44">
        <v>1361</v>
      </c>
      <c r="C47" s="44">
        <v>16244.211600000015</v>
      </c>
      <c r="D47" s="44">
        <v>13457.836200000018</v>
      </c>
      <c r="E47" s="45"/>
      <c r="F47" s="46">
        <v>2338.0958999999966</v>
      </c>
      <c r="G47" s="45">
        <v>448.27950000000033</v>
      </c>
      <c r="H47" s="47">
        <v>84032.119999999966</v>
      </c>
      <c r="I47" s="44">
        <v>344100.81000000046</v>
      </c>
      <c r="J47" s="44">
        <v>36917.489999999991</v>
      </c>
      <c r="K47" s="44">
        <v>2636.6400000000008</v>
      </c>
      <c r="L47" s="44">
        <v>15968.429999999991</v>
      </c>
      <c r="M47" s="44">
        <v>44542.250000000015</v>
      </c>
      <c r="N47" s="44">
        <v>49988.500000000036</v>
      </c>
      <c r="O47" s="44">
        <v>5656.579999999999</v>
      </c>
      <c r="P47" s="44">
        <v>4268.9800000000005</v>
      </c>
      <c r="Q47" s="48">
        <v>1489.85</v>
      </c>
      <c r="R47" s="45"/>
      <c r="S47" s="49">
        <v>589601.65000000037</v>
      </c>
      <c r="T47" s="48">
        <v>18550.57999999891</v>
      </c>
      <c r="U47" s="50">
        <v>608152.22999999928</v>
      </c>
      <c r="V47" s="12"/>
    </row>
    <row r="48" spans="1:22" x14ac:dyDescent="0.3">
      <c r="A48" s="43" t="s">
        <v>141</v>
      </c>
      <c r="B48" s="44">
        <v>3</v>
      </c>
      <c r="C48" s="44">
        <v>4.1580000000000013</v>
      </c>
      <c r="D48" s="44"/>
      <c r="E48" s="45"/>
      <c r="F48" s="46"/>
      <c r="G48" s="45">
        <v>4.1580000000000013</v>
      </c>
      <c r="H48" s="47"/>
      <c r="I48" s="44"/>
      <c r="J48" s="44"/>
      <c r="K48" s="44">
        <v>0</v>
      </c>
      <c r="L48" s="44"/>
      <c r="M48" s="44"/>
      <c r="N48" s="44"/>
      <c r="O48" s="44">
        <v>32.58</v>
      </c>
      <c r="P48" s="44">
        <v>5.5</v>
      </c>
      <c r="Q48" s="48">
        <v>14.5</v>
      </c>
      <c r="R48" s="45"/>
      <c r="S48" s="49">
        <v>52.58</v>
      </c>
      <c r="T48" s="48">
        <v>0.12000000000000455</v>
      </c>
      <c r="U48" s="50">
        <v>52.7</v>
      </c>
      <c r="V48" s="12"/>
    </row>
    <row r="49" spans="1:22" x14ac:dyDescent="0.3">
      <c r="A49" s="43" t="s">
        <v>74</v>
      </c>
      <c r="B49" s="44">
        <v>1</v>
      </c>
      <c r="C49" s="44">
        <v>2.4500000000000002</v>
      </c>
      <c r="D49" s="44"/>
      <c r="E49" s="45"/>
      <c r="F49" s="46"/>
      <c r="G49" s="45">
        <v>2.4500000000000002</v>
      </c>
      <c r="H49" s="47"/>
      <c r="I49" s="44"/>
      <c r="J49" s="44"/>
      <c r="K49" s="44">
        <v>0</v>
      </c>
      <c r="L49" s="44"/>
      <c r="M49" s="44"/>
      <c r="N49" s="44"/>
      <c r="O49" s="44">
        <v>8.4</v>
      </c>
      <c r="P49" s="44">
        <v>2.35</v>
      </c>
      <c r="Q49" s="48"/>
      <c r="R49" s="45"/>
      <c r="S49" s="49">
        <v>10.75</v>
      </c>
      <c r="T49" s="48">
        <v>0</v>
      </c>
      <c r="U49" s="50">
        <v>10.75</v>
      </c>
      <c r="V49" s="12"/>
    </row>
    <row r="50" spans="1:22" s="59" customFormat="1" x14ac:dyDescent="0.3">
      <c r="A50" s="43" t="s">
        <v>145</v>
      </c>
      <c r="B50" s="44">
        <v>1</v>
      </c>
      <c r="C50" s="44">
        <v>0.78200000000000003</v>
      </c>
      <c r="D50" s="44"/>
      <c r="E50" s="45"/>
      <c r="F50" s="46"/>
      <c r="G50" s="45">
        <v>0.78200000000000003</v>
      </c>
      <c r="H50" s="47"/>
      <c r="I50" s="44"/>
      <c r="J50" s="44"/>
      <c r="K50" s="44">
        <v>0</v>
      </c>
      <c r="L50" s="44"/>
      <c r="M50" s="44"/>
      <c r="N50" s="44"/>
      <c r="O50" s="44">
        <v>13.5</v>
      </c>
      <c r="P50" s="44"/>
      <c r="Q50" s="48"/>
      <c r="R50" s="45"/>
      <c r="S50" s="49">
        <v>13.5</v>
      </c>
      <c r="T50" s="48">
        <v>0.29999999999999893</v>
      </c>
      <c r="U50" s="50">
        <v>13.799999999999999</v>
      </c>
      <c r="V50" s="10"/>
    </row>
    <row r="51" spans="1:22" x14ac:dyDescent="0.3">
      <c r="A51" s="43" t="s">
        <v>77</v>
      </c>
      <c r="B51" s="44">
        <v>2957</v>
      </c>
      <c r="C51" s="44">
        <v>50141.491799999952</v>
      </c>
      <c r="D51" s="44">
        <v>17947.748399999971</v>
      </c>
      <c r="E51" s="45"/>
      <c r="F51" s="46">
        <v>29547.33789999998</v>
      </c>
      <c r="G51" s="45">
        <v>2646.4054999999976</v>
      </c>
      <c r="H51" s="47">
        <v>64310.019999999902</v>
      </c>
      <c r="I51" s="44">
        <v>392017.60000000033</v>
      </c>
      <c r="J51" s="44">
        <v>168391.94999999995</v>
      </c>
      <c r="K51" s="44">
        <v>3324.22</v>
      </c>
      <c r="L51" s="44">
        <v>393177.38999999996</v>
      </c>
      <c r="M51" s="44">
        <v>558696.45000000007</v>
      </c>
      <c r="N51" s="44">
        <v>773610.48999999941</v>
      </c>
      <c r="O51" s="44">
        <v>59721.520000000026</v>
      </c>
      <c r="P51" s="44">
        <v>56799.749999999942</v>
      </c>
      <c r="Q51" s="48">
        <v>53679.39999999998</v>
      </c>
      <c r="R51" s="45"/>
      <c r="S51" s="49">
        <v>2523728.7899999996</v>
      </c>
      <c r="T51" s="48">
        <v>79462.470000001136</v>
      </c>
      <c r="U51" s="50">
        <v>2603191.2600000007</v>
      </c>
      <c r="V51" s="12"/>
    </row>
    <row r="52" spans="1:22" x14ac:dyDescent="0.3">
      <c r="A52" s="43" t="s">
        <v>78</v>
      </c>
      <c r="B52" s="44">
        <v>73</v>
      </c>
      <c r="C52" s="44">
        <v>1224.0128</v>
      </c>
      <c r="D52" s="44">
        <v>529.36299999999994</v>
      </c>
      <c r="E52" s="45"/>
      <c r="F52" s="46">
        <v>586.18470000000025</v>
      </c>
      <c r="G52" s="45">
        <v>108.46509999999998</v>
      </c>
      <c r="H52" s="47"/>
      <c r="I52" s="44">
        <v>10756.52</v>
      </c>
      <c r="J52" s="44">
        <v>7539.5500000000011</v>
      </c>
      <c r="K52" s="44">
        <v>0</v>
      </c>
      <c r="L52" s="44">
        <v>1416.0900000000001</v>
      </c>
      <c r="M52" s="44">
        <v>12002.53</v>
      </c>
      <c r="N52" s="44">
        <v>23677.420000000002</v>
      </c>
      <c r="O52" s="44">
        <v>638.15</v>
      </c>
      <c r="P52" s="44">
        <v>1829.41</v>
      </c>
      <c r="Q52" s="48">
        <v>488.5</v>
      </c>
      <c r="R52" s="45"/>
      <c r="S52" s="49">
        <v>58348.170000000006</v>
      </c>
      <c r="T52" s="48">
        <v>1156.5000000000291</v>
      </c>
      <c r="U52" s="50">
        <v>59504.670000000035</v>
      </c>
      <c r="V52" s="12"/>
    </row>
    <row r="53" spans="1:22" s="59" customFormat="1" x14ac:dyDescent="0.3">
      <c r="A53" s="43" t="s">
        <v>79</v>
      </c>
      <c r="B53" s="44">
        <v>813</v>
      </c>
      <c r="C53" s="44">
        <v>20274.152600000012</v>
      </c>
      <c r="D53" s="44">
        <v>1393.1632</v>
      </c>
      <c r="E53" s="45">
        <v>1647.4936999999998</v>
      </c>
      <c r="F53" s="46">
        <v>15758.477300000015</v>
      </c>
      <c r="G53" s="45">
        <v>1475.0183999999988</v>
      </c>
      <c r="H53" s="47">
        <v>16261.119999999995</v>
      </c>
      <c r="I53" s="44">
        <v>29471.550000000014</v>
      </c>
      <c r="J53" s="44">
        <v>15088.860000000002</v>
      </c>
      <c r="K53" s="44">
        <v>0</v>
      </c>
      <c r="L53" s="44">
        <v>735380.41999999958</v>
      </c>
      <c r="M53" s="44">
        <v>61171.620000000024</v>
      </c>
      <c r="N53" s="44">
        <v>89200.720000000059</v>
      </c>
      <c r="O53" s="44">
        <v>86189.579999999987</v>
      </c>
      <c r="P53" s="44">
        <v>4113.04</v>
      </c>
      <c r="Q53" s="48">
        <v>4362.7899999999991</v>
      </c>
      <c r="R53" s="45">
        <v>129024.95999999998</v>
      </c>
      <c r="S53" s="49">
        <v>1170264.6599999997</v>
      </c>
      <c r="T53" s="48">
        <v>135578.11999999732</v>
      </c>
      <c r="U53" s="50">
        <v>1305842.779999997</v>
      </c>
      <c r="V53" s="10"/>
    </row>
    <row r="54" spans="1:22" x14ac:dyDescent="0.3">
      <c r="A54" s="43" t="s">
        <v>80</v>
      </c>
      <c r="B54" s="44">
        <v>4822</v>
      </c>
      <c r="C54" s="44">
        <v>100739.83309999941</v>
      </c>
      <c r="D54" s="44">
        <f>94965.7095999994+1.2652</f>
        <v>94966.9747999994</v>
      </c>
      <c r="E54" s="45">
        <v>28.177099999999999</v>
      </c>
      <c r="F54" s="46">
        <v>1118.3499999999997</v>
      </c>
      <c r="G54" s="45">
        <f>14625.1034-9998.7722</f>
        <v>4626.3312000000005</v>
      </c>
      <c r="H54" s="47">
        <v>504392.3199999996</v>
      </c>
      <c r="I54" s="44">
        <v>2676375.6399999987</v>
      </c>
      <c r="J54" s="44">
        <v>148778.23000000004</v>
      </c>
      <c r="K54" s="44">
        <v>9221.7199999999975</v>
      </c>
      <c r="L54" s="44">
        <v>13339.569999999998</v>
      </c>
      <c r="M54" s="44">
        <v>14916.21</v>
      </c>
      <c r="N54" s="44">
        <v>33771.950000000012</v>
      </c>
      <c r="O54" s="44">
        <v>75798.000000000073</v>
      </c>
      <c r="P54" s="44">
        <v>56319.579999999973</v>
      </c>
      <c r="Q54" s="48">
        <v>34099.380000000012</v>
      </c>
      <c r="R54" s="45">
        <v>1458.9099999999999</v>
      </c>
      <c r="S54" s="49">
        <v>3568471.5099999984</v>
      </c>
      <c r="T54" s="48">
        <v>77826.720000006258</v>
      </c>
      <c r="U54" s="50">
        <v>3646298.2300000046</v>
      </c>
      <c r="V54" s="12"/>
    </row>
    <row r="55" spans="1:22" x14ac:dyDescent="0.3">
      <c r="A55" s="43" t="s">
        <v>81</v>
      </c>
      <c r="B55" s="44">
        <v>6502</v>
      </c>
      <c r="C55" s="44">
        <v>77963.460800000015</v>
      </c>
      <c r="D55" s="44">
        <v>14501.270699999975</v>
      </c>
      <c r="E55" s="45"/>
      <c r="F55" s="46">
        <v>58576.623900000035</v>
      </c>
      <c r="G55" s="45">
        <v>4885.5662000000029</v>
      </c>
      <c r="H55" s="47">
        <v>138306.80999999997</v>
      </c>
      <c r="I55" s="44">
        <v>253482.78999999978</v>
      </c>
      <c r="J55" s="44">
        <v>99708.690000000046</v>
      </c>
      <c r="K55" s="44">
        <v>394.3</v>
      </c>
      <c r="L55" s="44">
        <v>1033512.54</v>
      </c>
      <c r="M55" s="44">
        <v>1146590.2600000035</v>
      </c>
      <c r="N55" s="44">
        <v>1247393.3099999996</v>
      </c>
      <c r="O55" s="44">
        <v>146991.11000000002</v>
      </c>
      <c r="P55" s="44">
        <v>126007.62999999987</v>
      </c>
      <c r="Q55" s="48">
        <v>72486.060000000012</v>
      </c>
      <c r="R55" s="45"/>
      <c r="S55" s="49">
        <v>4264873.5000000028</v>
      </c>
      <c r="T55" s="48">
        <v>97879.519999989308</v>
      </c>
      <c r="U55" s="50">
        <v>4362753.0199999921</v>
      </c>
      <c r="V55" s="12"/>
    </row>
    <row r="56" spans="1:22" x14ac:dyDescent="0.3">
      <c r="A56" s="43" t="s">
        <v>136</v>
      </c>
      <c r="B56" s="44">
        <v>2</v>
      </c>
      <c r="C56" s="44">
        <v>4.0448000000000004</v>
      </c>
      <c r="D56" s="44"/>
      <c r="E56" s="45"/>
      <c r="F56" s="46"/>
      <c r="G56" s="45">
        <v>4.0448000000000004</v>
      </c>
      <c r="H56" s="47"/>
      <c r="I56" s="44"/>
      <c r="J56" s="44"/>
      <c r="K56" s="44">
        <v>0</v>
      </c>
      <c r="L56" s="44"/>
      <c r="M56" s="44"/>
      <c r="N56" s="44"/>
      <c r="O56" s="44">
        <v>114.75</v>
      </c>
      <c r="P56" s="44">
        <v>58.5</v>
      </c>
      <c r="Q56" s="48">
        <v>3.02</v>
      </c>
      <c r="R56" s="45"/>
      <c r="S56" s="49">
        <v>176.27</v>
      </c>
      <c r="T56" s="48">
        <v>3.4999999999999716</v>
      </c>
      <c r="U56" s="50">
        <v>179.76999999999998</v>
      </c>
      <c r="V56" s="12"/>
    </row>
    <row r="57" spans="1:22" s="59" customFormat="1" x14ac:dyDescent="0.3">
      <c r="A57" s="43" t="s">
        <v>82</v>
      </c>
      <c r="B57" s="44">
        <v>49</v>
      </c>
      <c r="C57" s="44">
        <v>531.94630000000029</v>
      </c>
      <c r="D57" s="44">
        <v>399.56610000000029</v>
      </c>
      <c r="E57" s="45"/>
      <c r="F57" s="46">
        <v>55.957800000000006</v>
      </c>
      <c r="G57" s="45">
        <v>76.422400000000025</v>
      </c>
      <c r="H57" s="47">
        <v>9257.1699999999983</v>
      </c>
      <c r="I57" s="44">
        <v>3566.51</v>
      </c>
      <c r="J57" s="44">
        <v>1830.2800000000002</v>
      </c>
      <c r="K57" s="44">
        <v>0</v>
      </c>
      <c r="L57" s="44">
        <v>2051.16</v>
      </c>
      <c r="M57" s="44">
        <v>473.5</v>
      </c>
      <c r="N57" s="44">
        <v>109</v>
      </c>
      <c r="O57" s="44">
        <v>357.09999999999997</v>
      </c>
      <c r="P57" s="44">
        <v>828.68</v>
      </c>
      <c r="Q57" s="48">
        <v>779.6</v>
      </c>
      <c r="R57" s="45"/>
      <c r="S57" s="49">
        <v>19252.999999999996</v>
      </c>
      <c r="T57" s="48">
        <v>279.93999999999869</v>
      </c>
      <c r="U57" s="50">
        <v>19532.939999999995</v>
      </c>
      <c r="V57" s="10"/>
    </row>
    <row r="58" spans="1:22" x14ac:dyDescent="0.3">
      <c r="A58" s="43" t="s">
        <v>83</v>
      </c>
      <c r="B58" s="44">
        <v>617</v>
      </c>
      <c r="C58" s="44">
        <v>9720.5474000000067</v>
      </c>
      <c r="D58" s="44">
        <v>8570.7340000000058</v>
      </c>
      <c r="E58" s="45"/>
      <c r="F58" s="46">
        <v>166.63270000000011</v>
      </c>
      <c r="G58" s="45">
        <v>983.18070000000125</v>
      </c>
      <c r="H58" s="47">
        <v>121354.38000000002</v>
      </c>
      <c r="I58" s="44">
        <v>180116.80000000013</v>
      </c>
      <c r="J58" s="44">
        <v>21058.91</v>
      </c>
      <c r="K58" s="44">
        <v>278.25</v>
      </c>
      <c r="L58" s="44">
        <v>3765.5399999999995</v>
      </c>
      <c r="M58" s="44">
        <v>1318.57</v>
      </c>
      <c r="N58" s="44">
        <v>912.77</v>
      </c>
      <c r="O58" s="44">
        <v>20452.490000000009</v>
      </c>
      <c r="P58" s="44">
        <v>6194.4600000000019</v>
      </c>
      <c r="Q58" s="48">
        <v>14369.439999999999</v>
      </c>
      <c r="R58" s="45"/>
      <c r="S58" s="49">
        <v>369821.61000000016</v>
      </c>
      <c r="T58" s="48">
        <v>7203.7699999999022</v>
      </c>
      <c r="U58" s="50">
        <v>377025.38000000006</v>
      </c>
      <c r="V58" s="12"/>
    </row>
    <row r="59" spans="1:22" x14ac:dyDescent="0.3">
      <c r="A59" s="43" t="s">
        <v>84</v>
      </c>
      <c r="B59" s="44">
        <v>79</v>
      </c>
      <c r="C59" s="44">
        <v>267.65759999999995</v>
      </c>
      <c r="D59" s="44">
        <v>131.37919999999997</v>
      </c>
      <c r="E59" s="45"/>
      <c r="F59" s="46">
        <v>85.844000000000008</v>
      </c>
      <c r="G59" s="45">
        <v>50.434399999999997</v>
      </c>
      <c r="H59" s="47">
        <v>5008.63</v>
      </c>
      <c r="I59" s="44">
        <v>692.76999999999987</v>
      </c>
      <c r="J59" s="44">
        <v>83.5</v>
      </c>
      <c r="K59" s="44">
        <v>4</v>
      </c>
      <c r="L59" s="44">
        <v>923.28</v>
      </c>
      <c r="M59" s="44">
        <v>1085.1200000000001</v>
      </c>
      <c r="N59" s="44">
        <v>49</v>
      </c>
      <c r="O59" s="44">
        <v>1193.8500000000001</v>
      </c>
      <c r="P59" s="44">
        <v>344.21</v>
      </c>
      <c r="Q59" s="48">
        <v>175.58</v>
      </c>
      <c r="R59" s="45"/>
      <c r="S59" s="49">
        <v>9559.9399999999987</v>
      </c>
      <c r="T59" s="48">
        <v>141.70999999999913</v>
      </c>
      <c r="U59" s="50">
        <v>9701.6499999999978</v>
      </c>
      <c r="V59" s="12"/>
    </row>
    <row r="60" spans="1:22" x14ac:dyDescent="0.3">
      <c r="A60" s="43" t="s">
        <v>85</v>
      </c>
      <c r="B60" s="44">
        <v>389</v>
      </c>
      <c r="C60" s="44">
        <v>2244.011599999998</v>
      </c>
      <c r="D60" s="44">
        <v>1977.9819999999979</v>
      </c>
      <c r="E60" s="45"/>
      <c r="F60" s="46">
        <v>12.1854</v>
      </c>
      <c r="G60" s="45">
        <v>253.84419999999997</v>
      </c>
      <c r="H60" s="47">
        <v>25020.959999999992</v>
      </c>
      <c r="I60" s="44">
        <v>7577.0999999999949</v>
      </c>
      <c r="J60" s="44">
        <v>824.56</v>
      </c>
      <c r="K60" s="44">
        <v>0</v>
      </c>
      <c r="L60" s="44">
        <v>32.5</v>
      </c>
      <c r="M60" s="44">
        <v>20</v>
      </c>
      <c r="N60" s="44"/>
      <c r="O60" s="44">
        <v>709.20999999999992</v>
      </c>
      <c r="P60" s="44">
        <v>428.97</v>
      </c>
      <c r="Q60" s="48">
        <v>10.36</v>
      </c>
      <c r="R60" s="45"/>
      <c r="S60" s="49">
        <v>34623.659999999989</v>
      </c>
      <c r="T60" s="48">
        <v>591.5299999999479</v>
      </c>
      <c r="U60" s="50">
        <v>35215.189999999937</v>
      </c>
      <c r="V60" s="12"/>
    </row>
    <row r="61" spans="1:22" x14ac:dyDescent="0.3">
      <c r="A61" s="43" t="s">
        <v>86</v>
      </c>
      <c r="B61" s="44">
        <v>171</v>
      </c>
      <c r="C61" s="44">
        <v>1635.8927999999999</v>
      </c>
      <c r="D61" s="44">
        <v>228.47599999999997</v>
      </c>
      <c r="E61" s="45">
        <v>393.29739999999998</v>
      </c>
      <c r="F61" s="46">
        <v>898.67549999999994</v>
      </c>
      <c r="G61" s="45">
        <v>115.44390000000007</v>
      </c>
      <c r="H61" s="47">
        <v>1830.23</v>
      </c>
      <c r="I61" s="44">
        <v>2417.3900000000003</v>
      </c>
      <c r="J61" s="44">
        <v>4286.1100000000006</v>
      </c>
      <c r="K61" s="44">
        <v>0</v>
      </c>
      <c r="L61" s="44">
        <v>15667.470000000001</v>
      </c>
      <c r="M61" s="44">
        <v>6466.5800000000008</v>
      </c>
      <c r="N61" s="44">
        <v>7109.0100000000011</v>
      </c>
      <c r="O61" s="44">
        <v>3576.55</v>
      </c>
      <c r="P61" s="44">
        <v>136.35000000000002</v>
      </c>
      <c r="Q61" s="48">
        <v>274.63</v>
      </c>
      <c r="R61" s="45">
        <v>27426.709999999995</v>
      </c>
      <c r="S61" s="49">
        <v>69191.03</v>
      </c>
      <c r="T61" s="48">
        <v>19987.500000000015</v>
      </c>
      <c r="U61" s="50">
        <v>89178.530000000013</v>
      </c>
      <c r="V61" s="12"/>
    </row>
    <row r="62" spans="1:22" x14ac:dyDescent="0.3">
      <c r="A62" s="43" t="s">
        <v>87</v>
      </c>
      <c r="B62" s="44">
        <v>348</v>
      </c>
      <c r="C62" s="44">
        <v>6216.2068999999992</v>
      </c>
      <c r="D62" s="44">
        <v>4497.2039999999988</v>
      </c>
      <c r="E62" s="45"/>
      <c r="F62" s="46">
        <v>840.87250000000051</v>
      </c>
      <c r="G62" s="45">
        <v>878.1303999999999</v>
      </c>
      <c r="H62" s="47">
        <v>120282.62000000008</v>
      </c>
      <c r="I62" s="44">
        <v>23196.860000000004</v>
      </c>
      <c r="J62" s="44">
        <v>19012.919999999987</v>
      </c>
      <c r="K62" s="44">
        <v>90.85</v>
      </c>
      <c r="L62" s="44">
        <v>25733.019999999986</v>
      </c>
      <c r="M62" s="44">
        <v>4855.1899999999987</v>
      </c>
      <c r="N62" s="44">
        <v>3985.5699999999997</v>
      </c>
      <c r="O62" s="44">
        <v>15992.360000000002</v>
      </c>
      <c r="P62" s="44">
        <v>4177.7900000000009</v>
      </c>
      <c r="Q62" s="48">
        <v>6287.2</v>
      </c>
      <c r="R62" s="45"/>
      <c r="S62" s="49">
        <v>223614.38000000012</v>
      </c>
      <c r="T62" s="48">
        <v>3167.339999999851</v>
      </c>
      <c r="U62" s="50">
        <v>226781.71999999997</v>
      </c>
      <c r="V62" s="12"/>
    </row>
    <row r="63" spans="1:22" x14ac:dyDescent="0.3">
      <c r="A63" s="43" t="s">
        <v>88</v>
      </c>
      <c r="B63" s="44">
        <v>175</v>
      </c>
      <c r="C63" s="44">
        <v>1099.9823000000001</v>
      </c>
      <c r="D63" s="44">
        <v>698.09040000000016</v>
      </c>
      <c r="E63" s="45"/>
      <c r="F63" s="46">
        <v>316.93899999999996</v>
      </c>
      <c r="G63" s="45">
        <v>84.9529</v>
      </c>
      <c r="H63" s="47">
        <v>6531.7199999999984</v>
      </c>
      <c r="I63" s="44">
        <v>17698.750000000004</v>
      </c>
      <c r="J63" s="44">
        <v>498.94</v>
      </c>
      <c r="K63" s="44">
        <v>0</v>
      </c>
      <c r="L63" s="44">
        <v>4659.2299999999996</v>
      </c>
      <c r="M63" s="44">
        <v>5321.53</v>
      </c>
      <c r="N63" s="44">
        <v>1248.48</v>
      </c>
      <c r="O63" s="44">
        <v>1009.1599999999999</v>
      </c>
      <c r="P63" s="44">
        <v>1067.93</v>
      </c>
      <c r="Q63" s="48">
        <v>421.45</v>
      </c>
      <c r="R63" s="45"/>
      <c r="S63" s="49">
        <v>38457.189999999995</v>
      </c>
      <c r="T63" s="48">
        <v>580.88000000005559</v>
      </c>
      <c r="U63" s="50">
        <v>39038.070000000051</v>
      </c>
      <c r="V63" s="12"/>
    </row>
    <row r="64" spans="1:22" x14ac:dyDescent="0.3">
      <c r="A64" s="43" t="s">
        <v>89</v>
      </c>
      <c r="B64" s="44">
        <v>4</v>
      </c>
      <c r="C64" s="44">
        <v>4.6764000000000001</v>
      </c>
      <c r="D64" s="44"/>
      <c r="E64" s="45"/>
      <c r="F64" s="46"/>
      <c r="G64" s="45">
        <v>4.6764000000000001</v>
      </c>
      <c r="H64" s="47"/>
      <c r="I64" s="44"/>
      <c r="J64" s="44"/>
      <c r="K64" s="44">
        <v>0</v>
      </c>
      <c r="L64" s="44"/>
      <c r="M64" s="44"/>
      <c r="N64" s="44"/>
      <c r="O64" s="44">
        <v>38.75</v>
      </c>
      <c r="P64" s="44">
        <v>17.25</v>
      </c>
      <c r="Q64" s="48">
        <v>0</v>
      </c>
      <c r="R64" s="45"/>
      <c r="S64" s="49">
        <v>56</v>
      </c>
      <c r="T64" s="48">
        <v>0</v>
      </c>
      <c r="U64" s="50">
        <v>56</v>
      </c>
      <c r="V64" s="12"/>
    </row>
    <row r="65" spans="1:22" x14ac:dyDescent="0.3">
      <c r="A65" s="43" t="s">
        <v>90</v>
      </c>
      <c r="B65" s="44">
        <v>364</v>
      </c>
      <c r="C65" s="44">
        <v>9019.851299999993</v>
      </c>
      <c r="D65" s="44">
        <v>5821.7021999999924</v>
      </c>
      <c r="E65" s="45"/>
      <c r="F65" s="46">
        <v>1496.610499999998</v>
      </c>
      <c r="G65" s="45">
        <v>1701.538600000003</v>
      </c>
      <c r="H65" s="47">
        <v>137322.95000000004</v>
      </c>
      <c r="I65" s="44">
        <v>363.5</v>
      </c>
      <c r="J65" s="44">
        <v>1747.4</v>
      </c>
      <c r="K65" s="44">
        <v>0</v>
      </c>
      <c r="L65" s="44">
        <v>46181.55000000001</v>
      </c>
      <c r="M65" s="44">
        <v>7291.5500000000011</v>
      </c>
      <c r="N65" s="44">
        <v>15480.130000000001</v>
      </c>
      <c r="O65" s="44">
        <v>35114.250000000015</v>
      </c>
      <c r="P65" s="44">
        <v>6246.42</v>
      </c>
      <c r="Q65" s="48">
        <v>25589.859999999997</v>
      </c>
      <c r="R65" s="45"/>
      <c r="S65" s="49">
        <v>275337.6100000001</v>
      </c>
      <c r="T65" s="48">
        <v>5092.3299999998417</v>
      </c>
      <c r="U65" s="50">
        <v>280429.93999999994</v>
      </c>
      <c r="V65" s="12"/>
    </row>
    <row r="66" spans="1:22" x14ac:dyDescent="0.3">
      <c r="A66" s="43" t="s">
        <v>91</v>
      </c>
      <c r="B66" s="44">
        <v>19</v>
      </c>
      <c r="C66" s="44">
        <v>105.15389999999999</v>
      </c>
      <c r="D66" s="44">
        <v>80.92649999999999</v>
      </c>
      <c r="E66" s="45"/>
      <c r="F66" s="46">
        <v>12.2407</v>
      </c>
      <c r="G66" s="45">
        <v>11.986699999999999</v>
      </c>
      <c r="H66" s="47">
        <v>934.29</v>
      </c>
      <c r="I66" s="44">
        <v>698.1</v>
      </c>
      <c r="J66" s="44">
        <v>215.8</v>
      </c>
      <c r="K66" s="44">
        <v>0</v>
      </c>
      <c r="L66" s="44">
        <v>81</v>
      </c>
      <c r="M66" s="44">
        <v>12.75</v>
      </c>
      <c r="N66" s="44">
        <v>134.85</v>
      </c>
      <c r="O66" s="44">
        <v>40.6</v>
      </c>
      <c r="P66" s="44">
        <v>143.05000000000001</v>
      </c>
      <c r="Q66" s="48">
        <v>103.97999999999999</v>
      </c>
      <c r="R66" s="45"/>
      <c r="S66" s="49">
        <v>2364.42</v>
      </c>
      <c r="T66" s="48">
        <v>38.849999999999909</v>
      </c>
      <c r="U66" s="50">
        <v>2403.27</v>
      </c>
      <c r="V66" s="12"/>
    </row>
    <row r="67" spans="1:22" x14ac:dyDescent="0.3">
      <c r="A67" s="43" t="s">
        <v>92</v>
      </c>
      <c r="B67" s="44">
        <v>280</v>
      </c>
      <c r="C67" s="44">
        <v>4547.7956000000022</v>
      </c>
      <c r="D67" s="44">
        <v>2996.5839000000019</v>
      </c>
      <c r="E67" s="45"/>
      <c r="F67" s="46">
        <v>1067.1863999999998</v>
      </c>
      <c r="G67" s="45">
        <v>484.02530000000007</v>
      </c>
      <c r="H67" s="47"/>
      <c r="I67" s="44">
        <v>45989.600000000006</v>
      </c>
      <c r="J67" s="44">
        <v>999.12</v>
      </c>
      <c r="K67" s="44">
        <v>0</v>
      </c>
      <c r="L67" s="44">
        <v>2521.66</v>
      </c>
      <c r="M67" s="44">
        <v>11262.500000000004</v>
      </c>
      <c r="N67" s="44">
        <v>6977.16</v>
      </c>
      <c r="O67" s="44">
        <v>914.90999999999985</v>
      </c>
      <c r="P67" s="44">
        <v>3155.3200000000006</v>
      </c>
      <c r="Q67" s="48">
        <v>1171.99</v>
      </c>
      <c r="R67" s="45"/>
      <c r="S67" s="49">
        <v>72992.260000000024</v>
      </c>
      <c r="T67" s="48">
        <v>1790.5999999999622</v>
      </c>
      <c r="U67" s="50">
        <v>74782.859999999986</v>
      </c>
      <c r="V67" s="12"/>
    </row>
    <row r="68" spans="1:22" x14ac:dyDescent="0.3">
      <c r="A68" s="43" t="s">
        <v>93</v>
      </c>
      <c r="B68" s="44">
        <v>408</v>
      </c>
      <c r="C68" s="44">
        <v>5776.5751999999966</v>
      </c>
      <c r="D68" s="44">
        <v>3437.7773999999977</v>
      </c>
      <c r="E68" s="45">
        <v>34.217500000000001</v>
      </c>
      <c r="F68" s="46">
        <v>1632.2425999999984</v>
      </c>
      <c r="G68" s="45">
        <v>672.33770000000015</v>
      </c>
      <c r="H68" s="47">
        <v>22816.239999999998</v>
      </c>
      <c r="I68" s="44">
        <v>61989.279999999962</v>
      </c>
      <c r="J68" s="44">
        <v>37197.780000000006</v>
      </c>
      <c r="K68" s="44">
        <v>18.11</v>
      </c>
      <c r="L68" s="44">
        <v>54935.469999999994</v>
      </c>
      <c r="M68" s="44">
        <v>18111.310000000001</v>
      </c>
      <c r="N68" s="44">
        <v>18053.619999999995</v>
      </c>
      <c r="O68" s="44">
        <v>7603.5000000000009</v>
      </c>
      <c r="P68" s="44">
        <v>5839.7800000000007</v>
      </c>
      <c r="Q68" s="48">
        <v>4059.59</v>
      </c>
      <c r="R68" s="45">
        <v>2166.31</v>
      </c>
      <c r="S68" s="49">
        <v>232790.98999999993</v>
      </c>
      <c r="T68" s="48">
        <v>4728.2100000001665</v>
      </c>
      <c r="U68" s="50">
        <v>237519.2000000001</v>
      </c>
      <c r="V68" s="12"/>
    </row>
    <row r="69" spans="1:22" x14ac:dyDescent="0.3">
      <c r="A69" s="43" t="s">
        <v>94</v>
      </c>
      <c r="B69" s="44">
        <v>6</v>
      </c>
      <c r="C69" s="44">
        <v>15.856300000000001</v>
      </c>
      <c r="D69" s="44"/>
      <c r="E69" s="45"/>
      <c r="F69" s="46">
        <v>13.171100000000001</v>
      </c>
      <c r="G69" s="45">
        <v>2.6852</v>
      </c>
      <c r="H69" s="47"/>
      <c r="I69" s="44"/>
      <c r="J69" s="44"/>
      <c r="K69" s="44">
        <v>0</v>
      </c>
      <c r="L69" s="44">
        <v>50.879999999999995</v>
      </c>
      <c r="M69" s="44">
        <v>242.07</v>
      </c>
      <c r="N69" s="44">
        <v>29.68</v>
      </c>
      <c r="O69" s="44">
        <v>8.5</v>
      </c>
      <c r="P69" s="44">
        <v>8.15</v>
      </c>
      <c r="Q69" s="48">
        <v>1</v>
      </c>
      <c r="R69" s="45"/>
      <c r="S69" s="49">
        <v>340.28</v>
      </c>
      <c r="T69" s="48">
        <v>6.5800000000000409</v>
      </c>
      <c r="U69" s="50">
        <v>346.86</v>
      </c>
      <c r="V69" s="12"/>
    </row>
    <row r="70" spans="1:22" x14ac:dyDescent="0.3">
      <c r="A70" s="43" t="s">
        <v>95</v>
      </c>
      <c r="B70" s="44">
        <v>900</v>
      </c>
      <c r="C70" s="44">
        <v>19565.211800000012</v>
      </c>
      <c r="D70" s="44">
        <v>16894.145900000014</v>
      </c>
      <c r="E70" s="45"/>
      <c r="F70" s="46">
        <v>1095.5472999999997</v>
      </c>
      <c r="G70" s="45">
        <v>1575.518600000001</v>
      </c>
      <c r="H70" s="47">
        <v>311361.73999999987</v>
      </c>
      <c r="I70" s="44">
        <v>123905.94999999998</v>
      </c>
      <c r="J70" s="44">
        <v>370196.87000000011</v>
      </c>
      <c r="K70" s="44">
        <v>15226.939999999999</v>
      </c>
      <c r="L70" s="44">
        <v>41382.57</v>
      </c>
      <c r="M70" s="44">
        <v>9152.9</v>
      </c>
      <c r="N70" s="44">
        <v>11056.64</v>
      </c>
      <c r="O70" s="44">
        <v>36050.179999999986</v>
      </c>
      <c r="P70" s="44">
        <v>13211.390000000001</v>
      </c>
      <c r="Q70" s="48">
        <v>33112.370000000003</v>
      </c>
      <c r="R70" s="45"/>
      <c r="S70" s="49">
        <v>964657.54999999981</v>
      </c>
      <c r="T70" s="48">
        <v>20479.39999999979</v>
      </c>
      <c r="U70" s="50">
        <v>985136.9499999996</v>
      </c>
      <c r="V70" s="12"/>
    </row>
    <row r="71" spans="1:22" x14ac:dyDescent="0.3">
      <c r="A71" s="43" t="s">
        <v>137</v>
      </c>
      <c r="B71" s="44">
        <v>2</v>
      </c>
      <c r="C71" s="44">
        <v>0.88700000000000001</v>
      </c>
      <c r="D71" s="44"/>
      <c r="E71" s="45"/>
      <c r="F71" s="46"/>
      <c r="G71" s="45">
        <v>0.88700000000000001</v>
      </c>
      <c r="H71" s="47"/>
      <c r="I71" s="44"/>
      <c r="J71" s="44"/>
      <c r="K71" s="44">
        <v>0</v>
      </c>
      <c r="L71" s="44"/>
      <c r="M71" s="44"/>
      <c r="N71" s="44"/>
      <c r="O71" s="44">
        <v>2.1</v>
      </c>
      <c r="P71" s="44"/>
      <c r="Q71" s="48"/>
      <c r="R71" s="45"/>
      <c r="S71" s="49">
        <v>2.1</v>
      </c>
      <c r="T71" s="48">
        <v>0</v>
      </c>
      <c r="U71" s="50">
        <v>2.1</v>
      </c>
      <c r="V71" s="12"/>
    </row>
    <row r="72" spans="1:22" x14ac:dyDescent="0.3">
      <c r="A72" s="43" t="s">
        <v>96</v>
      </c>
      <c r="B72" s="44">
        <v>11955</v>
      </c>
      <c r="C72" s="44">
        <v>22359.986899999963</v>
      </c>
      <c r="D72" s="44">
        <v>22359.486899999963</v>
      </c>
      <c r="E72" s="45"/>
      <c r="F72" s="46"/>
      <c r="G72" s="45">
        <v>0.5</v>
      </c>
      <c r="H72" s="47">
        <v>1306157.3599999961</v>
      </c>
      <c r="I72" s="44">
        <v>30.6</v>
      </c>
      <c r="J72" s="44"/>
      <c r="K72" s="44">
        <v>0</v>
      </c>
      <c r="L72" s="44"/>
      <c r="M72" s="44"/>
      <c r="N72" s="44"/>
      <c r="O72" s="44">
        <v>1.8</v>
      </c>
      <c r="P72" s="44">
        <v>2.8</v>
      </c>
      <c r="Q72" s="48"/>
      <c r="R72" s="45"/>
      <c r="S72" s="49">
        <v>1306192.5599999963</v>
      </c>
      <c r="T72" s="48">
        <v>40397.690000007162</v>
      </c>
      <c r="U72" s="50">
        <v>1346590.2500000035</v>
      </c>
      <c r="V72" s="12"/>
    </row>
    <row r="73" spans="1:22" x14ac:dyDescent="0.3">
      <c r="A73" s="43" t="s">
        <v>97</v>
      </c>
      <c r="B73" s="44">
        <v>25</v>
      </c>
      <c r="C73" s="44">
        <v>102.15239999999999</v>
      </c>
      <c r="D73" s="44">
        <v>54.125599999999999</v>
      </c>
      <c r="E73" s="45"/>
      <c r="F73" s="46">
        <v>33.579399999999993</v>
      </c>
      <c r="G73" s="45">
        <v>14.447400000000002</v>
      </c>
      <c r="H73" s="47">
        <v>2268.19</v>
      </c>
      <c r="I73" s="44"/>
      <c r="J73" s="44"/>
      <c r="K73" s="44">
        <v>0</v>
      </c>
      <c r="L73" s="44">
        <v>390.29999999999995</v>
      </c>
      <c r="M73" s="44">
        <v>253</v>
      </c>
      <c r="N73" s="44">
        <v>67.5</v>
      </c>
      <c r="O73" s="44">
        <v>258.5</v>
      </c>
      <c r="P73" s="44">
        <v>10.5</v>
      </c>
      <c r="Q73" s="48">
        <v>82.8</v>
      </c>
      <c r="R73" s="45"/>
      <c r="S73" s="49">
        <v>3330.79</v>
      </c>
      <c r="T73" s="48">
        <v>-26.949999999999818</v>
      </c>
      <c r="U73" s="50">
        <v>3303.84</v>
      </c>
      <c r="V73" s="12"/>
    </row>
    <row r="74" spans="1:22" x14ac:dyDescent="0.3">
      <c r="A74" s="43" t="s">
        <v>138</v>
      </c>
      <c r="B74" s="44">
        <v>3</v>
      </c>
      <c r="C74" s="44">
        <v>1.7099000000000002</v>
      </c>
      <c r="D74" s="44"/>
      <c r="E74" s="45"/>
      <c r="F74" s="46"/>
      <c r="G74" s="45">
        <v>1.7099000000000002</v>
      </c>
      <c r="H74" s="47"/>
      <c r="I74" s="44"/>
      <c r="J74" s="44"/>
      <c r="K74" s="44">
        <v>0</v>
      </c>
      <c r="L74" s="44"/>
      <c r="M74" s="44"/>
      <c r="N74" s="44"/>
      <c r="O74" s="44">
        <v>25.55</v>
      </c>
      <c r="P74" s="44">
        <v>1.8</v>
      </c>
      <c r="Q74" s="48">
        <v>8.5</v>
      </c>
      <c r="R74" s="45"/>
      <c r="S74" s="49">
        <v>35.85</v>
      </c>
      <c r="T74" s="48">
        <v>1.9499999999999957</v>
      </c>
      <c r="U74" s="50">
        <v>37.799999999999997</v>
      </c>
      <c r="V74" s="12"/>
    </row>
    <row r="75" spans="1:22" x14ac:dyDescent="0.3">
      <c r="A75" s="43" t="s">
        <v>98</v>
      </c>
      <c r="B75" s="44">
        <v>29</v>
      </c>
      <c r="C75" s="44">
        <v>118.66459999999998</v>
      </c>
      <c r="D75" s="44">
        <v>75.580499999999972</v>
      </c>
      <c r="E75" s="45"/>
      <c r="F75" s="46">
        <v>10.9254</v>
      </c>
      <c r="G75" s="45">
        <v>32.15870000000001</v>
      </c>
      <c r="H75" s="47">
        <v>859.77</v>
      </c>
      <c r="I75" s="44">
        <v>496.09999999999997</v>
      </c>
      <c r="J75" s="44">
        <v>1091.9799999999998</v>
      </c>
      <c r="K75" s="44">
        <v>0</v>
      </c>
      <c r="L75" s="44">
        <v>244.25</v>
      </c>
      <c r="M75" s="44">
        <v>12.5</v>
      </c>
      <c r="N75" s="44">
        <v>76.5</v>
      </c>
      <c r="O75" s="44">
        <v>380.83</v>
      </c>
      <c r="P75" s="44">
        <v>183.57</v>
      </c>
      <c r="Q75" s="48">
        <v>435.2999999999999</v>
      </c>
      <c r="R75" s="45"/>
      <c r="S75" s="49">
        <v>3780.7999999999993</v>
      </c>
      <c r="T75" s="48">
        <v>77.820000000001528</v>
      </c>
      <c r="U75" s="50">
        <v>3858.6200000000008</v>
      </c>
      <c r="V75" s="12"/>
    </row>
    <row r="76" spans="1:22" x14ac:dyDescent="0.3">
      <c r="A76" s="43" t="s">
        <v>99</v>
      </c>
      <c r="B76" s="44">
        <v>7</v>
      </c>
      <c r="C76" s="44">
        <v>46.220800000000004</v>
      </c>
      <c r="D76" s="44"/>
      <c r="E76" s="45"/>
      <c r="F76" s="46">
        <v>43.150800000000004</v>
      </c>
      <c r="G76" s="45">
        <v>3.0700000000000003</v>
      </c>
      <c r="H76" s="47"/>
      <c r="I76" s="44"/>
      <c r="J76" s="44"/>
      <c r="K76" s="44">
        <v>0</v>
      </c>
      <c r="L76" s="44">
        <v>1398.26</v>
      </c>
      <c r="M76" s="44">
        <v>480.36</v>
      </c>
      <c r="N76" s="44">
        <v>392.4</v>
      </c>
      <c r="O76" s="44">
        <v>59.4</v>
      </c>
      <c r="P76" s="44">
        <v>7.8</v>
      </c>
      <c r="Q76" s="48">
        <v>9.5</v>
      </c>
      <c r="R76" s="45"/>
      <c r="S76" s="49">
        <v>2347.7200000000003</v>
      </c>
      <c r="T76" s="48">
        <v>26.149999999999636</v>
      </c>
      <c r="U76" s="50">
        <v>2373.87</v>
      </c>
      <c r="V76" s="12"/>
    </row>
    <row r="77" spans="1:22" x14ac:dyDescent="0.3">
      <c r="A77" s="43" t="s">
        <v>139</v>
      </c>
      <c r="B77" s="44">
        <v>7</v>
      </c>
      <c r="C77" s="44">
        <v>24.214599999999997</v>
      </c>
      <c r="D77" s="44">
        <v>8.5546000000000006</v>
      </c>
      <c r="E77" s="45"/>
      <c r="F77" s="46"/>
      <c r="G77" s="45">
        <v>15.659999999999998</v>
      </c>
      <c r="H77" s="47">
        <v>61</v>
      </c>
      <c r="I77" s="44"/>
      <c r="J77" s="44"/>
      <c r="K77" s="44">
        <v>0</v>
      </c>
      <c r="L77" s="44"/>
      <c r="M77" s="44"/>
      <c r="N77" s="44"/>
      <c r="O77" s="44">
        <v>128.48000000000002</v>
      </c>
      <c r="P77" s="44">
        <v>57.6</v>
      </c>
      <c r="Q77" s="48"/>
      <c r="R77" s="45"/>
      <c r="S77" s="49">
        <v>247.08</v>
      </c>
      <c r="T77" s="48">
        <v>6.4199999999999875</v>
      </c>
      <c r="U77" s="50">
        <v>253.5</v>
      </c>
      <c r="V77" s="12"/>
    </row>
    <row r="78" spans="1:22" x14ac:dyDescent="0.3">
      <c r="A78" s="51" t="s">
        <v>100</v>
      </c>
      <c r="B78" s="44">
        <v>25</v>
      </c>
      <c r="C78" s="44">
        <v>100.20920000000001</v>
      </c>
      <c r="D78" s="44">
        <v>67.638000000000005</v>
      </c>
      <c r="E78" s="44"/>
      <c r="F78" s="45">
        <v>6.4026000000000005</v>
      </c>
      <c r="G78" s="46">
        <v>26.168600000000005</v>
      </c>
      <c r="H78" s="45">
        <v>1392.27</v>
      </c>
      <c r="I78" s="47">
        <v>536.96</v>
      </c>
      <c r="J78" s="44">
        <v>111.5</v>
      </c>
      <c r="K78" s="44">
        <v>0</v>
      </c>
      <c r="L78" s="44">
        <v>228.7</v>
      </c>
      <c r="M78" s="44"/>
      <c r="N78" s="44">
        <v>19</v>
      </c>
      <c r="O78" s="44">
        <v>571.06999999999994</v>
      </c>
      <c r="P78" s="44">
        <v>77.569999999999993</v>
      </c>
      <c r="Q78" s="44">
        <v>12.71</v>
      </c>
      <c r="R78" s="48"/>
      <c r="S78" s="45">
        <v>2949.78</v>
      </c>
      <c r="T78" s="49">
        <v>6.2399999999997817</v>
      </c>
      <c r="U78" s="50">
        <v>2956.02</v>
      </c>
      <c r="V78" s="12"/>
    </row>
    <row r="79" spans="1:22" x14ac:dyDescent="0.3">
      <c r="A79" s="51" t="s">
        <v>101</v>
      </c>
      <c r="B79" s="44">
        <v>128</v>
      </c>
      <c r="C79" s="44">
        <v>1566.3353</v>
      </c>
      <c r="D79" s="44">
        <v>1463.9634999999998</v>
      </c>
      <c r="E79" s="44"/>
      <c r="F79" s="52">
        <v>72.62639999999999</v>
      </c>
      <c r="G79" s="46">
        <v>29.745400000000004</v>
      </c>
      <c r="H79" s="53">
        <v>62951.180000000008</v>
      </c>
      <c r="I79" s="47">
        <v>849.65000000000009</v>
      </c>
      <c r="J79" s="44">
        <v>262</v>
      </c>
      <c r="K79" s="44">
        <v>0</v>
      </c>
      <c r="L79" s="44">
        <v>864.8</v>
      </c>
      <c r="M79" s="44">
        <v>287.05</v>
      </c>
      <c r="N79" s="44">
        <v>34.25</v>
      </c>
      <c r="O79" s="44">
        <v>415.13</v>
      </c>
      <c r="P79" s="44">
        <v>42.28</v>
      </c>
      <c r="Q79" s="54">
        <v>50</v>
      </c>
      <c r="R79" s="48"/>
      <c r="S79" s="45">
        <v>65756.340000000011</v>
      </c>
      <c r="T79" s="55">
        <v>286.76999999998952</v>
      </c>
      <c r="U79" s="50">
        <v>66043.11</v>
      </c>
      <c r="V79" s="12"/>
    </row>
    <row r="80" spans="1:22" x14ac:dyDescent="0.3">
      <c r="A80" s="51" t="s">
        <v>142</v>
      </c>
      <c r="B80" s="44">
        <v>8</v>
      </c>
      <c r="C80" s="44">
        <v>11.047800000000001</v>
      </c>
      <c r="D80" s="44"/>
      <c r="E80" s="44"/>
      <c r="F80" s="52"/>
      <c r="G80" s="46">
        <v>11.047800000000001</v>
      </c>
      <c r="H80" s="53"/>
      <c r="I80" s="47"/>
      <c r="J80" s="44"/>
      <c r="K80" s="44">
        <v>0</v>
      </c>
      <c r="L80" s="44"/>
      <c r="M80" s="44"/>
      <c r="N80" s="44"/>
      <c r="O80" s="44">
        <v>169.68</v>
      </c>
      <c r="P80" s="44">
        <v>0</v>
      </c>
      <c r="Q80" s="54">
        <v>0.3</v>
      </c>
      <c r="R80" s="48"/>
      <c r="S80" s="45">
        <v>169.98000000000002</v>
      </c>
      <c r="T80" s="55">
        <v>1.999999999998181E-2</v>
      </c>
      <c r="U80" s="50">
        <v>170</v>
      </c>
      <c r="V80" s="12"/>
    </row>
    <row r="81" spans="1:22" x14ac:dyDescent="0.3">
      <c r="A81" s="43" t="s">
        <v>140</v>
      </c>
      <c r="B81" s="44">
        <v>3</v>
      </c>
      <c r="C81" s="44">
        <v>1.4384999999999999</v>
      </c>
      <c r="D81" s="44"/>
      <c r="E81" s="45"/>
      <c r="F81" s="46"/>
      <c r="G81" s="45">
        <v>1.4384999999999999</v>
      </c>
      <c r="H81" s="47"/>
      <c r="I81" s="44"/>
      <c r="J81" s="44"/>
      <c r="K81" s="44">
        <v>0</v>
      </c>
      <c r="L81" s="44"/>
      <c r="M81" s="44"/>
      <c r="N81" s="44"/>
      <c r="O81" s="44">
        <v>14.53</v>
      </c>
      <c r="P81" s="44"/>
      <c r="Q81" s="48">
        <v>0.45</v>
      </c>
      <c r="R81" s="45"/>
      <c r="S81" s="49">
        <v>14.979999999999999</v>
      </c>
      <c r="T81" s="48">
        <v>0.34000000000000163</v>
      </c>
      <c r="U81" s="50">
        <v>15.32</v>
      </c>
      <c r="V81" s="50"/>
    </row>
    <row r="82" spans="1:22" x14ac:dyDescent="0.3">
      <c r="A82" s="43" t="s">
        <v>143</v>
      </c>
      <c r="B82" s="44">
        <v>2</v>
      </c>
      <c r="C82" s="44">
        <v>0.42</v>
      </c>
      <c r="D82" s="44"/>
      <c r="E82" s="45"/>
      <c r="F82" s="46"/>
      <c r="G82" s="45">
        <v>0.42</v>
      </c>
      <c r="H82" s="47"/>
      <c r="I82" s="44"/>
      <c r="J82" s="44"/>
      <c r="K82" s="44">
        <v>0</v>
      </c>
      <c r="L82" s="44"/>
      <c r="M82" s="44"/>
      <c r="N82" s="44"/>
      <c r="O82" s="44">
        <v>10.1</v>
      </c>
      <c r="P82" s="44">
        <v>1.3</v>
      </c>
      <c r="Q82" s="48"/>
      <c r="R82" s="45"/>
      <c r="S82" s="49">
        <v>11.4</v>
      </c>
      <c r="T82" s="48">
        <v>2.0999999999999996</v>
      </c>
      <c r="U82" s="50">
        <v>13.5</v>
      </c>
      <c r="V82" s="60"/>
    </row>
    <row r="83" spans="1:22" x14ac:dyDescent="0.3">
      <c r="A83" s="43" t="s">
        <v>102</v>
      </c>
      <c r="B83" s="44">
        <v>17</v>
      </c>
      <c r="C83" s="44">
        <v>24.590199999999999</v>
      </c>
      <c r="D83" s="44"/>
      <c r="E83" s="45"/>
      <c r="F83" s="46"/>
      <c r="G83" s="45">
        <v>24.590199999999999</v>
      </c>
      <c r="H83" s="47"/>
      <c r="I83" s="44"/>
      <c r="J83" s="44"/>
      <c r="K83" s="44">
        <v>0</v>
      </c>
      <c r="L83" s="44"/>
      <c r="M83" s="44"/>
      <c r="N83" s="44"/>
      <c r="O83" s="44">
        <v>568.96999999999991</v>
      </c>
      <c r="P83" s="44"/>
      <c r="Q83" s="48"/>
      <c r="R83" s="45"/>
      <c r="S83" s="49">
        <v>568.96999999999991</v>
      </c>
      <c r="T83" s="48">
        <v>2.6499999999999773</v>
      </c>
      <c r="U83" s="50">
        <v>571.61999999999989</v>
      </c>
      <c r="V83" s="12"/>
    </row>
    <row r="84" spans="1:22" x14ac:dyDescent="0.3">
      <c r="A84" s="43" t="s">
        <v>103</v>
      </c>
      <c r="B84" s="44">
        <v>122</v>
      </c>
      <c r="C84" s="44">
        <v>444.44619999999986</v>
      </c>
      <c r="D84" s="44">
        <v>256.55199999999991</v>
      </c>
      <c r="E84" s="45"/>
      <c r="F84" s="46">
        <v>102.98899999999998</v>
      </c>
      <c r="G84" s="45">
        <v>84.905200000000008</v>
      </c>
      <c r="H84" s="47">
        <v>1137.81</v>
      </c>
      <c r="I84" s="44">
        <v>4189.6000000000004</v>
      </c>
      <c r="J84" s="44">
        <v>928.62</v>
      </c>
      <c r="K84" s="44">
        <v>0</v>
      </c>
      <c r="L84" s="44">
        <v>365.79</v>
      </c>
      <c r="M84" s="44">
        <v>1473.27</v>
      </c>
      <c r="N84" s="44">
        <v>90.649999999999991</v>
      </c>
      <c r="O84" s="44">
        <v>386.06</v>
      </c>
      <c r="P84" s="44">
        <v>1200.03</v>
      </c>
      <c r="Q84" s="48">
        <v>114.13</v>
      </c>
      <c r="R84" s="45"/>
      <c r="S84" s="49">
        <v>9885.9599999999991</v>
      </c>
      <c r="T84" s="48">
        <v>113.89000000000124</v>
      </c>
      <c r="U84" s="50">
        <v>9999.85</v>
      </c>
      <c r="V84" s="12"/>
    </row>
    <row r="85" spans="1:22" x14ac:dyDescent="0.3">
      <c r="A85" s="43" t="s">
        <v>104</v>
      </c>
      <c r="B85" s="44">
        <v>438</v>
      </c>
      <c r="C85" s="44">
        <v>2538.8777000000032</v>
      </c>
      <c r="D85" s="44">
        <v>2305.3062000000032</v>
      </c>
      <c r="E85" s="45"/>
      <c r="F85" s="46">
        <v>104.73759999999997</v>
      </c>
      <c r="G85" s="45">
        <v>128.83390000000003</v>
      </c>
      <c r="H85" s="47">
        <v>44254.99000000002</v>
      </c>
      <c r="I85" s="44">
        <v>22658.700000000008</v>
      </c>
      <c r="J85" s="44">
        <v>4863.4600000000009</v>
      </c>
      <c r="K85" s="44">
        <v>0</v>
      </c>
      <c r="L85" s="44">
        <v>614.41999999999996</v>
      </c>
      <c r="M85" s="44">
        <v>3334.47</v>
      </c>
      <c r="N85" s="44">
        <v>293.41999999999996</v>
      </c>
      <c r="O85" s="44">
        <v>1246.6999999999998</v>
      </c>
      <c r="P85" s="44">
        <v>977.2700000000001</v>
      </c>
      <c r="Q85" s="48">
        <v>390.28999999999996</v>
      </c>
      <c r="R85" s="45"/>
      <c r="S85" s="49">
        <v>78633.72000000003</v>
      </c>
      <c r="T85" s="48">
        <v>656.10000000003492</v>
      </c>
      <c r="U85" s="50">
        <v>79289.820000000065</v>
      </c>
      <c r="V85" s="12"/>
    </row>
    <row r="86" spans="1:22" x14ac:dyDescent="0.3">
      <c r="A86" s="43" t="s">
        <v>105</v>
      </c>
      <c r="B86" s="44">
        <v>32</v>
      </c>
      <c r="C86" s="44">
        <v>212.89789999999999</v>
      </c>
      <c r="D86" s="44">
        <v>147.91319999999999</v>
      </c>
      <c r="E86" s="45"/>
      <c r="F86" s="46">
        <v>52.433499999999995</v>
      </c>
      <c r="G86" s="45">
        <v>12.5512</v>
      </c>
      <c r="H86" s="47">
        <v>936.3900000000001</v>
      </c>
      <c r="I86" s="44">
        <v>4120.5399999999991</v>
      </c>
      <c r="J86" s="44">
        <v>391.75</v>
      </c>
      <c r="K86" s="44">
        <v>0</v>
      </c>
      <c r="L86" s="44">
        <v>638.7299999999999</v>
      </c>
      <c r="M86" s="44">
        <v>1310.1399999999999</v>
      </c>
      <c r="N86" s="44">
        <v>618.49</v>
      </c>
      <c r="O86" s="44">
        <v>78.399999999999991</v>
      </c>
      <c r="P86" s="44">
        <v>165.9</v>
      </c>
      <c r="Q86" s="48">
        <v>7</v>
      </c>
      <c r="R86" s="45"/>
      <c r="S86" s="49">
        <v>8267.3399999999983</v>
      </c>
      <c r="T86" s="48">
        <v>152.4900000000016</v>
      </c>
      <c r="U86" s="50">
        <v>8419.83</v>
      </c>
      <c r="V86" s="12"/>
    </row>
    <row r="87" spans="1:22" x14ac:dyDescent="0.3">
      <c r="A87" s="43" t="s">
        <v>106</v>
      </c>
      <c r="B87" s="44">
        <v>1849</v>
      </c>
      <c r="C87" s="44">
        <v>17699.409000000018</v>
      </c>
      <c r="D87" s="44">
        <v>10703.245900000016</v>
      </c>
      <c r="E87" s="45"/>
      <c r="F87" s="46">
        <v>5890.2433000000037</v>
      </c>
      <c r="G87" s="45">
        <v>1105.9197999999999</v>
      </c>
      <c r="H87" s="47">
        <v>51200.750000000007</v>
      </c>
      <c r="I87" s="44">
        <v>77043.489999999976</v>
      </c>
      <c r="J87" s="44">
        <v>46573.089999999967</v>
      </c>
      <c r="K87" s="44">
        <v>0</v>
      </c>
      <c r="L87" s="44">
        <v>46400.52</v>
      </c>
      <c r="M87" s="44">
        <v>46748.879999999983</v>
      </c>
      <c r="N87" s="44">
        <v>37812.779999999992</v>
      </c>
      <c r="O87" s="44">
        <v>6399.7100000000019</v>
      </c>
      <c r="P87" s="44">
        <v>7472.5699999999979</v>
      </c>
      <c r="Q87" s="48">
        <v>1093.54</v>
      </c>
      <c r="R87" s="45"/>
      <c r="S87" s="49">
        <v>320745.3299999999</v>
      </c>
      <c r="T87" s="48">
        <v>7664.8299999997253</v>
      </c>
      <c r="U87" s="50">
        <v>328410.15999999963</v>
      </c>
      <c r="V87" s="12"/>
    </row>
    <row r="88" spans="1:22" x14ac:dyDescent="0.3">
      <c r="A88" s="43" t="s">
        <v>107</v>
      </c>
      <c r="B88" s="44">
        <v>1268</v>
      </c>
      <c r="C88" s="44">
        <v>6667.0431999999946</v>
      </c>
      <c r="D88" s="44">
        <v>6596.4721999999947</v>
      </c>
      <c r="E88" s="45"/>
      <c r="F88" s="46"/>
      <c r="G88" s="45">
        <v>70.570999999999998</v>
      </c>
      <c r="H88" s="47">
        <v>349397.92000000062</v>
      </c>
      <c r="I88" s="44">
        <v>3994.49</v>
      </c>
      <c r="J88" s="44">
        <v>35304.519999999931</v>
      </c>
      <c r="K88" s="44">
        <v>2678.77</v>
      </c>
      <c r="L88" s="44"/>
      <c r="M88" s="44"/>
      <c r="N88" s="44"/>
      <c r="O88" s="44">
        <v>2599.1799999999998</v>
      </c>
      <c r="P88" s="44">
        <v>336.09999999999997</v>
      </c>
      <c r="Q88" s="48">
        <v>95.85</v>
      </c>
      <c r="R88" s="45"/>
      <c r="S88" s="49">
        <v>394406.83000000048</v>
      </c>
      <c r="T88" s="48">
        <v>5485.5599999997648</v>
      </c>
      <c r="U88" s="50">
        <v>399892.39000000025</v>
      </c>
      <c r="V88" s="12"/>
    </row>
    <row r="89" spans="1:22" x14ac:dyDescent="0.3">
      <c r="A89" s="43" t="s">
        <v>108</v>
      </c>
      <c r="B89" s="44">
        <v>1692</v>
      </c>
      <c r="C89" s="44">
        <v>8894.8085000000501</v>
      </c>
      <c r="D89" s="44">
        <v>8820.5314000000508</v>
      </c>
      <c r="E89" s="45"/>
      <c r="F89" s="46"/>
      <c r="G89" s="45">
        <v>74.277100000000033</v>
      </c>
      <c r="H89" s="47">
        <v>474371.72</v>
      </c>
      <c r="I89" s="44">
        <v>8077.3400000000047</v>
      </c>
      <c r="J89" s="44">
        <v>44297.429999999986</v>
      </c>
      <c r="K89" s="44">
        <v>11958.689999999988</v>
      </c>
      <c r="L89" s="44"/>
      <c r="M89" s="44"/>
      <c r="N89" s="44"/>
      <c r="O89" s="44">
        <v>2910.73</v>
      </c>
      <c r="P89" s="44">
        <v>348.90999999999997</v>
      </c>
      <c r="Q89" s="48">
        <v>226.57999999999998</v>
      </c>
      <c r="R89" s="45"/>
      <c r="S89" s="49">
        <v>542191.39999999991</v>
      </c>
      <c r="T89" s="48">
        <v>4230.8100000009872</v>
      </c>
      <c r="U89" s="50">
        <v>546422.21000000089</v>
      </c>
      <c r="V89" s="12"/>
    </row>
    <row r="90" spans="1:22" x14ac:dyDescent="0.3">
      <c r="A90" s="43" t="s">
        <v>109</v>
      </c>
      <c r="B90" s="44">
        <v>1893</v>
      </c>
      <c r="C90" s="44">
        <v>14624.422899999996</v>
      </c>
      <c r="D90" s="44">
        <v>13999.120199999998</v>
      </c>
      <c r="E90" s="45"/>
      <c r="F90" s="46">
        <v>155.3494</v>
      </c>
      <c r="G90" s="45">
        <v>469.95329999999973</v>
      </c>
      <c r="H90" s="47">
        <v>138640.52999999997</v>
      </c>
      <c r="I90" s="44">
        <v>435885.27999999898</v>
      </c>
      <c r="J90" s="44">
        <v>11819.020000000006</v>
      </c>
      <c r="K90" s="44">
        <v>78.889999999999986</v>
      </c>
      <c r="L90" s="44">
        <v>1708.05</v>
      </c>
      <c r="M90" s="44">
        <v>2477.3299999999995</v>
      </c>
      <c r="N90" s="44">
        <v>167</v>
      </c>
      <c r="O90" s="44">
        <v>3212.150000000001</v>
      </c>
      <c r="P90" s="44">
        <v>6122.19</v>
      </c>
      <c r="Q90" s="48">
        <v>2706.3399999999997</v>
      </c>
      <c r="R90" s="45"/>
      <c r="S90" s="49">
        <v>602816.77999999886</v>
      </c>
      <c r="T90" s="48">
        <v>36578.080000003101</v>
      </c>
      <c r="U90" s="50">
        <v>639394.86000000197</v>
      </c>
      <c r="V90" s="12"/>
    </row>
    <row r="91" spans="1:22" x14ac:dyDescent="0.3">
      <c r="A91" s="43" t="s">
        <v>110</v>
      </c>
      <c r="B91" s="44">
        <v>9</v>
      </c>
      <c r="C91" s="44">
        <v>82.415299999999988</v>
      </c>
      <c r="D91" s="44"/>
      <c r="E91" s="45"/>
      <c r="F91" s="46">
        <v>67.810599999999994</v>
      </c>
      <c r="G91" s="45">
        <v>14.604699999999999</v>
      </c>
      <c r="H91" s="47"/>
      <c r="I91" s="44"/>
      <c r="J91" s="44"/>
      <c r="K91" s="44">
        <v>0</v>
      </c>
      <c r="L91" s="44">
        <v>685.4</v>
      </c>
      <c r="M91" s="44">
        <v>504</v>
      </c>
      <c r="N91" s="44">
        <v>116</v>
      </c>
      <c r="O91" s="44">
        <v>61.529999999999994</v>
      </c>
      <c r="P91" s="44">
        <v>152.95999999999998</v>
      </c>
      <c r="Q91" s="48">
        <v>14</v>
      </c>
      <c r="R91" s="45"/>
      <c r="S91" s="49">
        <v>1533.89</v>
      </c>
      <c r="T91" s="48">
        <v>18.299999999999955</v>
      </c>
      <c r="U91" s="50">
        <v>1552.19</v>
      </c>
      <c r="V91" s="12"/>
    </row>
    <row r="92" spans="1:22" x14ac:dyDescent="0.3">
      <c r="A92" s="43" t="s">
        <v>111</v>
      </c>
      <c r="B92" s="44">
        <v>1613</v>
      </c>
      <c r="C92" s="44">
        <v>13332.233200000028</v>
      </c>
      <c r="D92" s="44">
        <v>13130.129900000027</v>
      </c>
      <c r="E92" s="45"/>
      <c r="F92" s="46">
        <v>23.976500000000005</v>
      </c>
      <c r="G92" s="45">
        <v>178.12679999999986</v>
      </c>
      <c r="H92" s="47">
        <v>442134.4500000017</v>
      </c>
      <c r="I92" s="44">
        <v>139589.52999999959</v>
      </c>
      <c r="J92" s="44">
        <v>1226.7500000000002</v>
      </c>
      <c r="K92" s="44">
        <v>4230.2300000000041</v>
      </c>
      <c r="L92" s="44">
        <v>237.11000000000004</v>
      </c>
      <c r="M92" s="44">
        <v>180.28</v>
      </c>
      <c r="N92" s="44">
        <v>58.3</v>
      </c>
      <c r="O92" s="44">
        <v>9207.6600000000035</v>
      </c>
      <c r="P92" s="44">
        <v>687.5</v>
      </c>
      <c r="Q92" s="48">
        <v>630.61</v>
      </c>
      <c r="R92" s="45"/>
      <c r="S92" s="49">
        <v>598182.42000000132</v>
      </c>
      <c r="T92" s="48">
        <v>14675.210000000778</v>
      </c>
      <c r="U92" s="50">
        <v>612857.6300000021</v>
      </c>
      <c r="V92" s="12"/>
    </row>
    <row r="93" spans="1:22" x14ac:dyDescent="0.3">
      <c r="A93" s="43" t="s">
        <v>112</v>
      </c>
      <c r="B93" s="44">
        <v>42</v>
      </c>
      <c r="C93" s="44">
        <v>220.58600000000004</v>
      </c>
      <c r="D93" s="44">
        <v>144.7081</v>
      </c>
      <c r="E93" s="45"/>
      <c r="F93" s="46">
        <v>19.100700000000003</v>
      </c>
      <c r="G93" s="45">
        <v>56.777200000000022</v>
      </c>
      <c r="H93" s="47">
        <v>2525.8599999999997</v>
      </c>
      <c r="I93" s="44">
        <v>634.56000000000006</v>
      </c>
      <c r="J93" s="44">
        <v>278.52</v>
      </c>
      <c r="K93" s="44">
        <v>0</v>
      </c>
      <c r="L93" s="44">
        <v>163.5</v>
      </c>
      <c r="M93" s="44">
        <v>119.19</v>
      </c>
      <c r="N93" s="44">
        <v>53.4</v>
      </c>
      <c r="O93" s="44">
        <v>472.78999999999996</v>
      </c>
      <c r="P93" s="44">
        <v>199.82</v>
      </c>
      <c r="Q93" s="48">
        <v>161.31</v>
      </c>
      <c r="R93" s="45"/>
      <c r="S93" s="49">
        <v>4608.95</v>
      </c>
      <c r="T93" s="48">
        <v>133.88000000000011</v>
      </c>
      <c r="U93" s="50">
        <v>4742.83</v>
      </c>
      <c r="V93" s="12"/>
    </row>
    <row r="94" spans="1:22" x14ac:dyDescent="0.3">
      <c r="A94" s="43" t="s">
        <v>113</v>
      </c>
      <c r="B94" s="44">
        <v>292</v>
      </c>
      <c r="C94" s="44">
        <v>1862.6969000000004</v>
      </c>
      <c r="D94" s="44">
        <v>1623.4014000000002</v>
      </c>
      <c r="E94" s="45"/>
      <c r="F94" s="46">
        <v>116.87939999999996</v>
      </c>
      <c r="G94" s="45">
        <v>122.4161000000001</v>
      </c>
      <c r="H94" s="47">
        <v>58477.829999999987</v>
      </c>
      <c r="I94" s="44">
        <v>19281.57</v>
      </c>
      <c r="J94" s="44">
        <v>3787.9400000000005</v>
      </c>
      <c r="K94" s="44">
        <v>726.18000000000006</v>
      </c>
      <c r="L94" s="44">
        <v>3545.6699999999996</v>
      </c>
      <c r="M94" s="44">
        <v>1183.5599999999997</v>
      </c>
      <c r="N94" s="44">
        <v>178.8</v>
      </c>
      <c r="O94" s="44">
        <v>3144.1000000000008</v>
      </c>
      <c r="P94" s="44">
        <v>666.09</v>
      </c>
      <c r="Q94" s="48">
        <v>745.36</v>
      </c>
      <c r="R94" s="45"/>
      <c r="S94" s="49">
        <v>91737.099999999991</v>
      </c>
      <c r="T94" s="48">
        <v>983.91000000001804</v>
      </c>
      <c r="U94" s="50">
        <v>92721.010000000009</v>
      </c>
      <c r="V94" s="12"/>
    </row>
    <row r="95" spans="1:22" x14ac:dyDescent="0.3">
      <c r="A95" s="43" t="s">
        <v>114</v>
      </c>
      <c r="B95" s="44">
        <v>57</v>
      </c>
      <c r="C95" s="44">
        <v>244.57530000000006</v>
      </c>
      <c r="D95" s="44">
        <v>113.45300000000005</v>
      </c>
      <c r="E95" s="45"/>
      <c r="F95" s="46">
        <v>26.670200000000005</v>
      </c>
      <c r="G95" s="45">
        <v>104.4521</v>
      </c>
      <c r="H95" s="47">
        <v>4019.4400000000005</v>
      </c>
      <c r="I95" s="44">
        <v>556.52</v>
      </c>
      <c r="J95" s="44">
        <v>79</v>
      </c>
      <c r="K95" s="44">
        <v>10</v>
      </c>
      <c r="L95" s="44">
        <v>551.50000000000011</v>
      </c>
      <c r="M95" s="44">
        <v>116.64</v>
      </c>
      <c r="N95" s="44">
        <v>15</v>
      </c>
      <c r="O95" s="44">
        <v>1791.2900000000002</v>
      </c>
      <c r="P95" s="44">
        <v>1508.7100000000003</v>
      </c>
      <c r="Q95" s="48">
        <v>11</v>
      </c>
      <c r="R95" s="45"/>
      <c r="S95" s="49">
        <v>8659.1000000000022</v>
      </c>
      <c r="T95" s="48">
        <v>22.219999999999345</v>
      </c>
      <c r="U95" s="50">
        <v>8681.3200000000015</v>
      </c>
      <c r="V95" s="12"/>
    </row>
    <row r="96" spans="1:22" x14ac:dyDescent="0.3">
      <c r="A96" s="43" t="s">
        <v>115</v>
      </c>
      <c r="B96" s="44">
        <v>3</v>
      </c>
      <c r="C96" s="44">
        <v>2.4711999999999996</v>
      </c>
      <c r="D96" s="44"/>
      <c r="E96" s="45"/>
      <c r="F96" s="46"/>
      <c r="G96" s="45">
        <v>2.4711999999999996</v>
      </c>
      <c r="H96" s="47"/>
      <c r="I96" s="44"/>
      <c r="J96" s="44"/>
      <c r="K96" s="44">
        <v>0</v>
      </c>
      <c r="L96" s="44"/>
      <c r="M96" s="44"/>
      <c r="N96" s="44"/>
      <c r="O96" s="44">
        <v>11.600000000000001</v>
      </c>
      <c r="P96" s="44"/>
      <c r="Q96" s="48"/>
      <c r="R96" s="45"/>
      <c r="S96" s="49">
        <v>11.600000000000001</v>
      </c>
      <c r="T96" s="48">
        <v>0.29999999999999893</v>
      </c>
      <c r="U96" s="50">
        <v>11.9</v>
      </c>
      <c r="V96" s="12"/>
    </row>
    <row r="97" spans="1:22" x14ac:dyDescent="0.3">
      <c r="A97" s="43" t="s">
        <v>116</v>
      </c>
      <c r="B97" s="44">
        <v>27</v>
      </c>
      <c r="C97" s="44">
        <v>42.227600000000002</v>
      </c>
      <c r="D97" s="44">
        <v>28.809100000000001</v>
      </c>
      <c r="E97" s="45"/>
      <c r="F97" s="46">
        <v>10.535300000000001</v>
      </c>
      <c r="G97" s="45">
        <v>2.8832</v>
      </c>
      <c r="H97" s="47">
        <v>1897.6099999999997</v>
      </c>
      <c r="I97" s="44"/>
      <c r="J97" s="44"/>
      <c r="K97" s="44">
        <v>0</v>
      </c>
      <c r="L97" s="44">
        <v>126.45</v>
      </c>
      <c r="M97" s="44">
        <v>59.51</v>
      </c>
      <c r="N97" s="44">
        <v>2.2200000000000002</v>
      </c>
      <c r="O97" s="44">
        <v>19.91</v>
      </c>
      <c r="P97" s="44"/>
      <c r="Q97" s="48"/>
      <c r="R97" s="45"/>
      <c r="S97" s="49">
        <v>2105.6999999999994</v>
      </c>
      <c r="T97" s="48">
        <v>57.050000000000182</v>
      </c>
      <c r="U97" s="50">
        <v>2162.7499999999995</v>
      </c>
      <c r="V97" s="12"/>
    </row>
    <row r="98" spans="1:22" x14ac:dyDescent="0.3">
      <c r="A98" s="43" t="s">
        <v>117</v>
      </c>
      <c r="B98" s="44">
        <v>5</v>
      </c>
      <c r="C98" s="44">
        <v>3.2995000000000001</v>
      </c>
      <c r="D98" s="44"/>
      <c r="E98" s="45"/>
      <c r="F98" s="46">
        <v>2</v>
      </c>
      <c r="G98" s="45">
        <v>1.2994999999999999</v>
      </c>
      <c r="H98" s="47"/>
      <c r="I98" s="44"/>
      <c r="J98" s="44"/>
      <c r="K98" s="44">
        <v>0</v>
      </c>
      <c r="L98" s="44">
        <v>38</v>
      </c>
      <c r="M98" s="44">
        <v>20.5</v>
      </c>
      <c r="N98" s="44"/>
      <c r="O98" s="44">
        <v>40.58</v>
      </c>
      <c r="P98" s="44">
        <v>3.4000000000000004</v>
      </c>
      <c r="Q98" s="48"/>
      <c r="R98" s="45"/>
      <c r="S98" s="49">
        <v>102.48</v>
      </c>
      <c r="T98" s="48">
        <v>0</v>
      </c>
      <c r="U98" s="50">
        <v>102.47999999999999</v>
      </c>
      <c r="V98" s="12"/>
    </row>
    <row r="99" spans="1:22" x14ac:dyDescent="0.3">
      <c r="A99" s="43" t="s">
        <v>118</v>
      </c>
      <c r="B99" s="44">
        <v>45</v>
      </c>
      <c r="C99" s="44">
        <v>816.35879999999975</v>
      </c>
      <c r="D99" s="44">
        <v>726.43039999999974</v>
      </c>
      <c r="E99" s="45">
        <v>7.0439999999999996</v>
      </c>
      <c r="F99" s="46">
        <v>35.240399999999987</v>
      </c>
      <c r="G99" s="45">
        <v>47.643999999999991</v>
      </c>
      <c r="H99" s="47">
        <v>13274.37</v>
      </c>
      <c r="I99" s="44">
        <v>1181</v>
      </c>
      <c r="J99" s="44">
        <v>22501.8</v>
      </c>
      <c r="K99" s="44">
        <v>1907.9899999999998</v>
      </c>
      <c r="L99" s="44">
        <v>1346.7199999999998</v>
      </c>
      <c r="M99" s="44">
        <v>116.56</v>
      </c>
      <c r="N99" s="44">
        <v>855.32</v>
      </c>
      <c r="O99" s="44">
        <v>2870.1200000000003</v>
      </c>
      <c r="P99" s="44">
        <v>114.3</v>
      </c>
      <c r="Q99" s="48">
        <v>820.35</v>
      </c>
      <c r="R99" s="45">
        <v>793.61</v>
      </c>
      <c r="S99" s="49">
        <v>45782.14</v>
      </c>
      <c r="T99" s="48">
        <v>1012.410000000018</v>
      </c>
      <c r="U99" s="50">
        <v>46794.550000000017</v>
      </c>
      <c r="V99" s="12"/>
    </row>
    <row r="100" spans="1:22" x14ac:dyDescent="0.3">
      <c r="A100" s="43" t="s">
        <v>119</v>
      </c>
      <c r="B100" s="44">
        <v>16</v>
      </c>
      <c r="C100" s="44">
        <v>33.393299999999996</v>
      </c>
      <c r="D100" s="44"/>
      <c r="E100" s="45"/>
      <c r="F100" s="46"/>
      <c r="G100" s="45">
        <v>33.393299999999996</v>
      </c>
      <c r="H100" s="47"/>
      <c r="I100" s="44"/>
      <c r="J100" s="44"/>
      <c r="K100" s="44">
        <v>0</v>
      </c>
      <c r="L100" s="44"/>
      <c r="M100" s="44"/>
      <c r="N100" s="44"/>
      <c r="O100" s="44">
        <v>640.83000000000004</v>
      </c>
      <c r="P100" s="44">
        <v>9</v>
      </c>
      <c r="Q100" s="48">
        <v>23</v>
      </c>
      <c r="R100" s="45"/>
      <c r="S100" s="49">
        <v>672.83</v>
      </c>
      <c r="T100" s="48">
        <v>0</v>
      </c>
      <c r="U100" s="50">
        <v>672.83</v>
      </c>
      <c r="V100" s="12"/>
    </row>
    <row r="101" spans="1:22" x14ac:dyDescent="0.3">
      <c r="A101" s="43" t="s">
        <v>120</v>
      </c>
      <c r="B101" s="44">
        <v>335</v>
      </c>
      <c r="C101" s="44">
        <v>6008.0843999999988</v>
      </c>
      <c r="D101" s="44">
        <v>2324.3405000000002</v>
      </c>
      <c r="E101" s="45"/>
      <c r="F101" s="46">
        <v>2759.4264999999973</v>
      </c>
      <c r="G101" s="45">
        <v>924.31740000000059</v>
      </c>
      <c r="H101" s="47">
        <v>29366.219999999987</v>
      </c>
      <c r="I101" s="44">
        <v>51016.269999999982</v>
      </c>
      <c r="J101" s="44">
        <v>11021.359999999999</v>
      </c>
      <c r="K101" s="44">
        <v>0</v>
      </c>
      <c r="L101" s="44">
        <v>60199.40999999996</v>
      </c>
      <c r="M101" s="44">
        <v>69333.84000000004</v>
      </c>
      <c r="N101" s="44">
        <v>34341.51</v>
      </c>
      <c r="O101" s="44">
        <v>20302.5</v>
      </c>
      <c r="P101" s="44">
        <v>12577.349999999997</v>
      </c>
      <c r="Q101" s="48">
        <v>9071.0899999999947</v>
      </c>
      <c r="R101" s="45"/>
      <c r="S101" s="49">
        <v>297229.54999999993</v>
      </c>
      <c r="T101" s="48">
        <v>4705.4600000000792</v>
      </c>
      <c r="U101" s="50">
        <v>301935.01</v>
      </c>
      <c r="V101" s="12"/>
    </row>
    <row r="102" spans="1:22" x14ac:dyDescent="0.3">
      <c r="A102" s="43" t="s">
        <v>121</v>
      </c>
      <c r="B102" s="44">
        <v>129</v>
      </c>
      <c r="C102" s="44">
        <v>1388.4523000000004</v>
      </c>
      <c r="D102" s="44">
        <v>553.95959999999991</v>
      </c>
      <c r="E102" s="45"/>
      <c r="F102" s="46">
        <v>588.28110000000027</v>
      </c>
      <c r="G102" s="45">
        <v>246.21160000000006</v>
      </c>
      <c r="H102" s="47"/>
      <c r="I102" s="44">
        <v>15050.880000000001</v>
      </c>
      <c r="J102" s="44">
        <v>6976.9199999999983</v>
      </c>
      <c r="K102" s="44">
        <v>0</v>
      </c>
      <c r="L102" s="44">
        <v>2083.29</v>
      </c>
      <c r="M102" s="44">
        <v>13409.29</v>
      </c>
      <c r="N102" s="44">
        <v>22291.510000000002</v>
      </c>
      <c r="O102" s="44">
        <v>927.3900000000001</v>
      </c>
      <c r="P102" s="44">
        <v>4158.4000000000005</v>
      </c>
      <c r="Q102" s="48">
        <v>2482.27</v>
      </c>
      <c r="R102" s="45"/>
      <c r="S102" s="49">
        <v>67379.950000000012</v>
      </c>
      <c r="T102" s="48">
        <v>1573.2799999999988</v>
      </c>
      <c r="U102" s="50">
        <v>68953.23000000001</v>
      </c>
      <c r="V102" s="12"/>
    </row>
    <row r="103" spans="1:22" x14ac:dyDescent="0.3">
      <c r="A103" s="43" t="s">
        <v>122</v>
      </c>
      <c r="B103" s="44">
        <v>2959</v>
      </c>
      <c r="C103" s="44">
        <v>28544.371000000003</v>
      </c>
      <c r="D103" s="44">
        <v>22084.323800000002</v>
      </c>
      <c r="E103" s="45"/>
      <c r="F103" s="46">
        <v>6096.2336000000005</v>
      </c>
      <c r="G103" s="45">
        <v>363.81360000000018</v>
      </c>
      <c r="H103" s="47">
        <v>50937.760000000002</v>
      </c>
      <c r="I103" s="44">
        <v>53470.500000000015</v>
      </c>
      <c r="J103" s="54">
        <v>774864.27999999968</v>
      </c>
      <c r="K103" s="44">
        <v>0</v>
      </c>
      <c r="L103" s="54">
        <v>28948.880000000001</v>
      </c>
      <c r="M103" s="56">
        <v>27000.400000000001</v>
      </c>
      <c r="N103" s="44">
        <v>230699.82000000024</v>
      </c>
      <c r="O103" s="54">
        <v>2188.0700000000002</v>
      </c>
      <c r="P103" s="44">
        <v>3572.19</v>
      </c>
      <c r="Q103" s="48">
        <v>9281.4300000000021</v>
      </c>
      <c r="R103" s="45"/>
      <c r="S103" s="49">
        <v>1180963.3299999998</v>
      </c>
      <c r="T103" s="48">
        <v>64089.83999999729</v>
      </c>
      <c r="U103" s="50">
        <v>1245053.1699999971</v>
      </c>
      <c r="V103" s="12"/>
    </row>
    <row r="104" spans="1:22" x14ac:dyDescent="0.3">
      <c r="A104" s="43" t="s">
        <v>123</v>
      </c>
      <c r="B104" s="44">
        <v>3129</v>
      </c>
      <c r="C104" s="44">
        <v>44747.502700000005</v>
      </c>
      <c r="D104" s="44">
        <v>34404.785700000008</v>
      </c>
      <c r="E104" s="45"/>
      <c r="F104" s="46">
        <v>9100.9703000000027</v>
      </c>
      <c r="G104" s="45">
        <v>1241.746699999999</v>
      </c>
      <c r="H104" s="47">
        <v>101532.93999999992</v>
      </c>
      <c r="I104" s="44">
        <v>826327.43000000063</v>
      </c>
      <c r="J104" s="54">
        <v>162926.16999999998</v>
      </c>
      <c r="K104" s="44">
        <v>2460.1699999999996</v>
      </c>
      <c r="L104" s="54">
        <v>69952.269999999931</v>
      </c>
      <c r="M104" s="56">
        <v>111665.95999999999</v>
      </c>
      <c r="N104" s="44">
        <v>214849.71000000008</v>
      </c>
      <c r="O104" s="54">
        <v>6110.6600000000017</v>
      </c>
      <c r="P104" s="44">
        <v>22824.309999999998</v>
      </c>
      <c r="Q104" s="48">
        <v>4985.420000000001</v>
      </c>
      <c r="R104" s="45"/>
      <c r="S104" s="49">
        <v>1523635.0400000003</v>
      </c>
      <c r="T104" s="48">
        <v>48251.170000006678</v>
      </c>
      <c r="U104" s="50">
        <v>1571886.2100000069</v>
      </c>
      <c r="V104" s="12"/>
    </row>
    <row r="105" spans="1:22" x14ac:dyDescent="0.3">
      <c r="A105" s="43" t="s">
        <v>124</v>
      </c>
      <c r="B105" s="44">
        <v>36</v>
      </c>
      <c r="C105" s="44">
        <v>881.10370000000012</v>
      </c>
      <c r="D105" s="44">
        <v>474.93540000000007</v>
      </c>
      <c r="E105" s="45"/>
      <c r="F105" s="46">
        <v>242.7277</v>
      </c>
      <c r="G105" s="45">
        <v>163.44060000000005</v>
      </c>
      <c r="H105" s="47">
        <v>4932.0600000000004</v>
      </c>
      <c r="I105" s="44">
        <v>3586.35</v>
      </c>
      <c r="J105" s="54">
        <v>3380.35</v>
      </c>
      <c r="K105" s="44">
        <v>0</v>
      </c>
      <c r="L105" s="54">
        <v>3953.2000000000003</v>
      </c>
      <c r="M105" s="56">
        <v>2089.65</v>
      </c>
      <c r="N105" s="44">
        <v>2691.2999999999997</v>
      </c>
      <c r="O105" s="54">
        <v>2592.4</v>
      </c>
      <c r="P105" s="44">
        <v>610.44999999999993</v>
      </c>
      <c r="Q105" s="48">
        <v>1690.95</v>
      </c>
      <c r="R105" s="45"/>
      <c r="S105" s="49">
        <v>25526.710000000003</v>
      </c>
      <c r="T105" s="48">
        <v>658.03999999998996</v>
      </c>
      <c r="U105" s="50">
        <v>26184.749999999993</v>
      </c>
      <c r="V105" s="57"/>
    </row>
    <row r="106" spans="1:22" x14ac:dyDescent="0.3">
      <c r="A106" s="43" t="s">
        <v>125</v>
      </c>
      <c r="B106" s="44">
        <v>110</v>
      </c>
      <c r="C106" s="44">
        <v>1130.7833000000005</v>
      </c>
      <c r="D106" s="44">
        <v>597.05900000000031</v>
      </c>
      <c r="E106" s="45"/>
      <c r="F106" s="46">
        <v>383.6819000000001</v>
      </c>
      <c r="G106" s="45">
        <v>150.04240000000001</v>
      </c>
      <c r="H106" s="47">
        <v>18652.040000000005</v>
      </c>
      <c r="I106" s="44">
        <v>3768.38</v>
      </c>
      <c r="J106" s="54">
        <v>9009.2499999999982</v>
      </c>
      <c r="K106" s="44">
        <v>582.51</v>
      </c>
      <c r="L106" s="54">
        <v>13124.759999999995</v>
      </c>
      <c r="M106" s="56">
        <v>2295.17</v>
      </c>
      <c r="N106" s="44">
        <v>1983.7999999999997</v>
      </c>
      <c r="O106" s="54">
        <v>7261.5199999999995</v>
      </c>
      <c r="P106" s="44">
        <v>1130.56</v>
      </c>
      <c r="Q106" s="48">
        <v>1464.8099999999997</v>
      </c>
      <c r="R106" s="45"/>
      <c r="S106" s="49">
        <v>59272.799999999996</v>
      </c>
      <c r="T106" s="48">
        <v>572.70000000004075</v>
      </c>
      <c r="U106" s="50">
        <v>59845.500000000036</v>
      </c>
      <c r="V106" s="12"/>
    </row>
    <row r="107" spans="1:22" x14ac:dyDescent="0.3">
      <c r="A107" s="43" t="s">
        <v>126</v>
      </c>
      <c r="B107" s="44">
        <v>1</v>
      </c>
      <c r="C107" s="44">
        <v>6.2799999999999994</v>
      </c>
      <c r="D107" s="44"/>
      <c r="E107" s="45"/>
      <c r="F107" s="46">
        <v>6.2799999999999994</v>
      </c>
      <c r="G107" s="45"/>
      <c r="H107" s="47"/>
      <c r="I107" s="44"/>
      <c r="J107" s="54"/>
      <c r="K107" s="44">
        <v>0</v>
      </c>
      <c r="L107" s="54">
        <v>0</v>
      </c>
      <c r="M107" s="56">
        <v>0</v>
      </c>
      <c r="N107" s="44">
        <v>23</v>
      </c>
      <c r="O107" s="54"/>
      <c r="P107" s="44"/>
      <c r="Q107" s="48"/>
      <c r="R107" s="45"/>
      <c r="S107" s="49">
        <v>23</v>
      </c>
      <c r="T107" s="48">
        <v>4.8999999999999986</v>
      </c>
      <c r="U107" s="50">
        <v>27.9</v>
      </c>
      <c r="V107" s="12"/>
    </row>
    <row r="108" spans="1:22" x14ac:dyDescent="0.3">
      <c r="A108" s="43" t="s">
        <v>127</v>
      </c>
      <c r="B108" s="44">
        <v>39</v>
      </c>
      <c r="C108" s="44">
        <v>5.5125999999999999</v>
      </c>
      <c r="D108" s="44"/>
      <c r="E108" s="45"/>
      <c r="F108" s="46"/>
      <c r="G108" s="45">
        <v>5.5125999999999999</v>
      </c>
      <c r="H108" s="47"/>
      <c r="I108" s="44"/>
      <c r="J108" s="54"/>
      <c r="K108" s="44">
        <v>0</v>
      </c>
      <c r="L108" s="54"/>
      <c r="M108" s="56"/>
      <c r="N108" s="44"/>
      <c r="O108" s="54">
        <v>12.5</v>
      </c>
      <c r="P108" s="44">
        <v>66.88000000000001</v>
      </c>
      <c r="Q108" s="48"/>
      <c r="R108" s="45"/>
      <c r="S108" s="49">
        <v>79.38000000000001</v>
      </c>
      <c r="T108" s="48">
        <v>0</v>
      </c>
      <c r="U108" s="50">
        <v>79.38000000000001</v>
      </c>
      <c r="V108" s="12"/>
    </row>
    <row r="109" spans="1:22" x14ac:dyDescent="0.3">
      <c r="A109" s="43" t="s">
        <v>128</v>
      </c>
      <c r="B109" s="44">
        <v>791</v>
      </c>
      <c r="C109" s="44">
        <v>8364.9671000000126</v>
      </c>
      <c r="D109" s="44">
        <v>8293.9528000000118</v>
      </c>
      <c r="E109" s="45"/>
      <c r="F109" s="46">
        <v>29.587599999999995</v>
      </c>
      <c r="G109" s="45">
        <v>41.426700000000004</v>
      </c>
      <c r="H109" s="47">
        <v>233298.76</v>
      </c>
      <c r="I109" s="44">
        <v>17046.839999999993</v>
      </c>
      <c r="J109" s="54">
        <v>591.3900000000001</v>
      </c>
      <c r="K109" s="44">
        <v>2025.0199999999995</v>
      </c>
      <c r="L109" s="54">
        <v>546.36</v>
      </c>
      <c r="M109" s="56">
        <v>82.539999999999992</v>
      </c>
      <c r="N109" s="44">
        <v>0</v>
      </c>
      <c r="O109" s="54">
        <v>300.54000000000002</v>
      </c>
      <c r="P109" s="44">
        <v>129.64999999999998</v>
      </c>
      <c r="Q109" s="48">
        <v>27</v>
      </c>
      <c r="R109" s="45"/>
      <c r="S109" s="49">
        <v>254048.1</v>
      </c>
      <c r="T109" s="48">
        <v>1999.1199999995588</v>
      </c>
      <c r="U109" s="50">
        <v>256047.21999999956</v>
      </c>
      <c r="V109" s="12"/>
    </row>
    <row r="110" spans="1:22" x14ac:dyDescent="0.3">
      <c r="A110" s="43" t="s">
        <v>129</v>
      </c>
      <c r="B110" s="44">
        <v>5</v>
      </c>
      <c r="C110" s="44">
        <v>11.509199999999998</v>
      </c>
      <c r="D110" s="44"/>
      <c r="E110" s="45"/>
      <c r="F110" s="46">
        <v>9.8291999999999984</v>
      </c>
      <c r="G110" s="45">
        <v>1.68</v>
      </c>
      <c r="H110" s="47"/>
      <c r="I110" s="44"/>
      <c r="J110" s="54"/>
      <c r="K110" s="44">
        <v>0</v>
      </c>
      <c r="L110" s="54">
        <v>133.30000000000001</v>
      </c>
      <c r="M110" s="56">
        <v>153.30000000000001</v>
      </c>
      <c r="N110" s="44"/>
      <c r="O110" s="54">
        <v>86</v>
      </c>
      <c r="P110" s="44"/>
      <c r="Q110" s="48"/>
      <c r="R110" s="45"/>
      <c r="S110" s="49">
        <v>372.6</v>
      </c>
      <c r="T110" s="48">
        <v>0</v>
      </c>
      <c r="U110" s="50">
        <v>372.6</v>
      </c>
      <c r="V110" s="12"/>
    </row>
    <row r="111" spans="1:22" x14ac:dyDescent="0.3">
      <c r="A111" s="43" t="s">
        <v>130</v>
      </c>
      <c r="B111" s="44">
        <v>2</v>
      </c>
      <c r="C111" s="44">
        <v>1.2307999999999999</v>
      </c>
      <c r="D111" s="44"/>
      <c r="E111" s="45"/>
      <c r="F111" s="46">
        <v>1.2307999999999999</v>
      </c>
      <c r="G111" s="45"/>
      <c r="H111" s="47"/>
      <c r="I111" s="44"/>
      <c r="J111" s="54"/>
      <c r="K111" s="44">
        <v>0</v>
      </c>
      <c r="L111" s="54">
        <v>3.8</v>
      </c>
      <c r="M111" s="56"/>
      <c r="N111" s="44"/>
      <c r="O111" s="54"/>
      <c r="P111" s="44"/>
      <c r="Q111" s="48"/>
      <c r="R111" s="45"/>
      <c r="S111" s="49">
        <v>3.8</v>
      </c>
      <c r="T111" s="48">
        <v>0</v>
      </c>
      <c r="U111" s="50">
        <v>3.8</v>
      </c>
      <c r="V111" s="12"/>
    </row>
    <row r="112" spans="1:22" x14ac:dyDescent="0.3">
      <c r="A112" s="43" t="s">
        <v>131</v>
      </c>
      <c r="B112" s="44">
        <v>4</v>
      </c>
      <c r="C112" s="44">
        <v>22.6188</v>
      </c>
      <c r="D112" s="44"/>
      <c r="E112" s="45"/>
      <c r="F112" s="46">
        <v>14.158799999999999</v>
      </c>
      <c r="G112" s="45">
        <v>8.4600000000000009</v>
      </c>
      <c r="H112" s="47"/>
      <c r="I112" s="44"/>
      <c r="J112" s="54"/>
      <c r="K112" s="44">
        <v>0</v>
      </c>
      <c r="L112" s="54">
        <v>59.65</v>
      </c>
      <c r="M112" s="56">
        <v>17.100000000000001</v>
      </c>
      <c r="N112" s="44"/>
      <c r="O112" s="54">
        <v>1.5</v>
      </c>
      <c r="P112" s="44">
        <v>0.3</v>
      </c>
      <c r="Q112" s="48"/>
      <c r="R112" s="45"/>
      <c r="S112" s="49">
        <v>78.55</v>
      </c>
      <c r="T112" s="48">
        <v>1.8900000000000006</v>
      </c>
      <c r="U112" s="50">
        <v>80.44</v>
      </c>
      <c r="V112" s="12"/>
    </row>
    <row r="113" spans="1:250" x14ac:dyDescent="0.3">
      <c r="A113" s="43" t="s">
        <v>132</v>
      </c>
      <c r="B113" s="44">
        <v>2</v>
      </c>
      <c r="C113" s="44">
        <v>0.2316</v>
      </c>
      <c r="D113" s="44"/>
      <c r="E113" s="45"/>
      <c r="F113" s="46"/>
      <c r="G113" s="45">
        <v>0.2316</v>
      </c>
      <c r="H113" s="47"/>
      <c r="I113" s="44"/>
      <c r="J113" s="54"/>
      <c r="K113" s="44">
        <v>0</v>
      </c>
      <c r="L113" s="54"/>
      <c r="M113" s="56"/>
      <c r="N113" s="44"/>
      <c r="O113" s="54">
        <v>4.1500000000000004</v>
      </c>
      <c r="P113" s="44"/>
      <c r="Q113" s="48"/>
      <c r="R113" s="45"/>
      <c r="S113" s="49">
        <v>4.1500000000000004</v>
      </c>
      <c r="T113" s="48">
        <v>0</v>
      </c>
      <c r="U113" s="50">
        <v>4.1500000000000004</v>
      </c>
      <c r="V113" s="12"/>
    </row>
    <row r="114" spans="1:250" x14ac:dyDescent="0.3">
      <c r="A114" s="43" t="s">
        <v>133</v>
      </c>
      <c r="B114" s="44">
        <v>6</v>
      </c>
      <c r="C114" s="44">
        <v>10.586699999999999</v>
      </c>
      <c r="D114" s="44"/>
      <c r="E114" s="45"/>
      <c r="F114" s="46">
        <v>0.55869999999999997</v>
      </c>
      <c r="G114" s="45">
        <v>10.027999999999999</v>
      </c>
      <c r="H114" s="47"/>
      <c r="I114" s="44"/>
      <c r="J114" s="54"/>
      <c r="K114" s="44">
        <v>0</v>
      </c>
      <c r="L114" s="54">
        <v>9.9</v>
      </c>
      <c r="M114" s="56">
        <v>4.05</v>
      </c>
      <c r="N114" s="44"/>
      <c r="O114" s="54">
        <v>147.5</v>
      </c>
      <c r="P114" s="44">
        <v>0.57999999999999996</v>
      </c>
      <c r="Q114" s="48"/>
      <c r="R114" s="45"/>
      <c r="S114" s="49">
        <v>162.03</v>
      </c>
      <c r="T114" s="48">
        <v>2.8199999999999932</v>
      </c>
      <c r="U114" s="50">
        <v>164.85</v>
      </c>
      <c r="V114" s="12"/>
    </row>
    <row r="115" spans="1:250" ht="15" thickBot="1" x14ac:dyDescent="0.35">
      <c r="A115" s="43"/>
      <c r="B115" s="44"/>
      <c r="C115" s="44"/>
      <c r="D115" s="44"/>
      <c r="E115" s="44"/>
      <c r="F115" s="44"/>
      <c r="G115" s="44"/>
      <c r="H115" s="47"/>
      <c r="I115" s="44"/>
      <c r="J115" s="54"/>
      <c r="K115" s="44"/>
      <c r="L115" s="54"/>
      <c r="M115" s="56"/>
      <c r="N115" s="44"/>
      <c r="O115" s="54"/>
      <c r="P115" s="44"/>
      <c r="Q115" s="48"/>
      <c r="R115" s="45"/>
      <c r="S115" s="49"/>
      <c r="T115" s="48"/>
      <c r="U115" s="50"/>
      <c r="V115" s="12"/>
    </row>
    <row r="116" spans="1:250" ht="15" thickBot="1" x14ac:dyDescent="0.35">
      <c r="A116" s="58" t="s">
        <v>134</v>
      </c>
      <c r="B116" s="58">
        <v>66884</v>
      </c>
      <c r="C116" s="58">
        <v>733620.61699999915</v>
      </c>
      <c r="D116" s="58">
        <v>404298.86569999933</v>
      </c>
      <c r="E116" s="58">
        <v>90294.466299999767</v>
      </c>
      <c r="F116" s="58">
        <v>200331.13780000003</v>
      </c>
      <c r="G116" s="58">
        <v>38696.147199999992</v>
      </c>
      <c r="H116" s="58">
        <v>5931828.1999999974</v>
      </c>
      <c r="I116" s="58">
        <v>6530656.5399999926</v>
      </c>
      <c r="J116" s="58">
        <v>2502807.2800000003</v>
      </c>
      <c r="K116" s="58">
        <v>59223.339999999982</v>
      </c>
      <c r="L116" s="58">
        <v>3404337.2099999976</v>
      </c>
      <c r="M116" s="58">
        <v>3406431.3900000025</v>
      </c>
      <c r="N116" s="58">
        <v>3806209.1399999969</v>
      </c>
      <c r="O116" s="58">
        <v>889680.32000000018</v>
      </c>
      <c r="P116" s="58">
        <v>490745.87</v>
      </c>
      <c r="Q116" s="58">
        <v>332990.39999999991</v>
      </c>
      <c r="R116" s="58">
        <v>7844060.9999999963</v>
      </c>
      <c r="S116" s="58">
        <v>35198970.689999983</v>
      </c>
      <c r="T116" s="58">
        <v>938454.42000000924</v>
      </c>
      <c r="U116" s="58">
        <v>36137425.109999992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</row>
  </sheetData>
  <mergeCells count="17">
    <mergeCell ref="A10:B10"/>
    <mergeCell ref="B2:V2"/>
    <mergeCell ref="B4:V4"/>
    <mergeCell ref="B5:V5"/>
    <mergeCell ref="B6:V6"/>
    <mergeCell ref="B8:V8"/>
    <mergeCell ref="B11:B19"/>
    <mergeCell ref="C11:G12"/>
    <mergeCell ref="H11:Q12"/>
    <mergeCell ref="R11:R16"/>
    <mergeCell ref="S11:S16"/>
    <mergeCell ref="U11:U16"/>
    <mergeCell ref="H13:K15"/>
    <mergeCell ref="L13:N15"/>
    <mergeCell ref="O13:Q15"/>
    <mergeCell ref="S17:S18"/>
    <mergeCell ref="T11:T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Monmarthe</dc:creator>
  <cp:lastModifiedBy>MONMARTHE Cecilia</cp:lastModifiedBy>
  <dcterms:created xsi:type="dcterms:W3CDTF">2023-03-03T14:27:08Z</dcterms:created>
  <dcterms:modified xsi:type="dcterms:W3CDTF">2025-05-25T09:51:00Z</dcterms:modified>
</cp:coreProperties>
</file>